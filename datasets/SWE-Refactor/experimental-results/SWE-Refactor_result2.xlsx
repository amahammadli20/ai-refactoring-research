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yisenxu/Downloads/"/>
    </mc:Choice>
  </mc:AlternateContent>
  <xr:revisionPtr revIDLastSave="0" documentId="13_ncr:1_{7520B53A-66D5-1B4B-B17F-8102D1473726}" xr6:coauthVersionLast="47" xr6:coauthVersionMax="47" xr10:uidLastSave="{00000000-0000-0000-0000-000000000000}"/>
  <bookViews>
    <workbookView xWindow="0" yWindow="500" windowWidth="30240" windowHeight="19640" xr2:uid="{00000000-000D-0000-FFFF-FFFF00000000}"/>
  </bookViews>
  <sheets>
    <sheet name="8 projects resul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0" i="3" l="1"/>
  <c r="B139" i="3"/>
  <c r="D139" i="3" s="1"/>
  <c r="B138" i="3"/>
  <c r="D138" i="3" s="1"/>
  <c r="B137" i="3"/>
  <c r="D137" i="3" s="1"/>
  <c r="B136" i="3"/>
  <c r="D136" i="3" s="1"/>
  <c r="D135" i="3"/>
  <c r="B135" i="3"/>
  <c r="D134" i="3"/>
  <c r="B134" i="3"/>
  <c r="B140" i="3" s="1"/>
  <c r="D140" i="3" s="1"/>
  <c r="D124" i="3"/>
  <c r="C124" i="3"/>
  <c r="AS120" i="3"/>
  <c r="AR120" i="3"/>
  <c r="AQ120" i="3"/>
  <c r="AP120" i="3"/>
  <c r="AO120" i="3"/>
  <c r="AH120" i="3"/>
  <c r="AG120" i="3"/>
  <c r="AF120" i="3"/>
  <c r="AE120" i="3"/>
  <c r="AD120" i="3"/>
  <c r="W120" i="3"/>
  <c r="V120" i="3"/>
  <c r="U120" i="3"/>
  <c r="T120" i="3"/>
  <c r="S120" i="3"/>
  <c r="L120" i="3"/>
  <c r="K120" i="3"/>
  <c r="J120" i="3"/>
  <c r="I120" i="3"/>
  <c r="H120" i="3"/>
  <c r="A120" i="3"/>
  <c r="BK119" i="3"/>
  <c r="BJ119" i="3"/>
  <c r="BI119" i="3"/>
  <c r="BH119" i="3"/>
  <c r="BG119" i="3"/>
  <c r="BF119" i="3"/>
  <c r="BE119" i="3"/>
  <c r="BD119" i="3"/>
  <c r="BC119" i="3"/>
  <c r="BB119" i="3"/>
  <c r="BA119" i="3"/>
  <c r="AZ119" i="3"/>
  <c r="AY119" i="3"/>
  <c r="AX119" i="3"/>
  <c r="AW119" i="3"/>
  <c r="AW120" i="3" s="1"/>
  <c r="AV119" i="3"/>
  <c r="AV120" i="3" s="1"/>
  <c r="AU119" i="3"/>
  <c r="AU120" i="3" s="1"/>
  <c r="AT119" i="3"/>
  <c r="AT120" i="3" s="1"/>
  <c r="AS119" i="3"/>
  <c r="AR119" i="3"/>
  <c r="AQ119" i="3"/>
  <c r="AP119" i="3"/>
  <c r="AO119" i="3"/>
  <c r="AN119" i="3"/>
  <c r="AN120" i="3" s="1"/>
  <c r="AM119" i="3"/>
  <c r="AM120" i="3" s="1"/>
  <c r="AL119" i="3"/>
  <c r="AL120" i="3" s="1"/>
  <c r="AK119" i="3"/>
  <c r="AK120" i="3" s="1"/>
  <c r="AJ119" i="3"/>
  <c r="AJ120" i="3" s="1"/>
  <c r="AI119" i="3"/>
  <c r="AI120" i="3" s="1"/>
  <c r="AH119" i="3"/>
  <c r="AG119" i="3"/>
  <c r="AF119" i="3"/>
  <c r="AE119" i="3"/>
  <c r="AD119" i="3"/>
  <c r="AC119" i="3"/>
  <c r="AC120" i="3" s="1"/>
  <c r="AB119" i="3"/>
  <c r="AB120" i="3" s="1"/>
  <c r="AA119" i="3"/>
  <c r="AA120" i="3" s="1"/>
  <c r="Z119" i="3"/>
  <c r="Z120" i="3" s="1"/>
  <c r="Y119" i="3"/>
  <c r="Y120" i="3" s="1"/>
  <c r="X119" i="3"/>
  <c r="X120" i="3" s="1"/>
  <c r="W119" i="3"/>
  <c r="V119" i="3"/>
  <c r="U119" i="3"/>
  <c r="T119" i="3"/>
  <c r="S119" i="3"/>
  <c r="R119" i="3"/>
  <c r="R120" i="3" s="1"/>
  <c r="Q119" i="3"/>
  <c r="Q120" i="3" s="1"/>
  <c r="P119" i="3"/>
  <c r="P120" i="3" s="1"/>
  <c r="O119" i="3"/>
  <c r="O120" i="3" s="1"/>
  <c r="N119" i="3"/>
  <c r="N120" i="3" s="1"/>
  <c r="M119" i="3"/>
  <c r="M120" i="3" s="1"/>
  <c r="L119" i="3"/>
  <c r="K119" i="3"/>
  <c r="J119" i="3"/>
  <c r="I119" i="3"/>
  <c r="H119" i="3"/>
  <c r="G119" i="3"/>
  <c r="G124" i="3" s="1"/>
  <c r="F119" i="3"/>
  <c r="F124" i="3" s="1"/>
  <c r="E119" i="3"/>
  <c r="E120" i="3" s="1"/>
  <c r="D119" i="3"/>
  <c r="D120" i="3" s="1"/>
  <c r="C119" i="3"/>
  <c r="C120" i="3" s="1"/>
  <c r="B119" i="3"/>
  <c r="B120" i="3" s="1"/>
  <c r="A119" i="3"/>
  <c r="AT115" i="3"/>
  <c r="BH114" i="3"/>
  <c r="BH115" i="3" s="1"/>
  <c r="BG114" i="3"/>
  <c r="BG115" i="3" s="1"/>
  <c r="BE114" i="3"/>
  <c r="AY114" i="3"/>
  <c r="AT114" i="3"/>
  <c r="AS114" i="3"/>
  <c r="AS115" i="3" s="1"/>
  <c r="AR114" i="3"/>
  <c r="AR115" i="3" s="1"/>
  <c r="AQ114" i="3"/>
  <c r="AM114" i="3"/>
  <c r="AK114" i="3"/>
  <c r="AK115" i="3" s="1"/>
  <c r="AC114" i="3"/>
  <c r="Y114" i="3"/>
  <c r="X114" i="3"/>
  <c r="W114" i="3"/>
  <c r="V114" i="3"/>
  <c r="X115" i="3" s="1"/>
  <c r="C114" i="3"/>
  <c r="BI113" i="3"/>
  <c r="BH113" i="3"/>
  <c r="BG113" i="3"/>
  <c r="BF113" i="3"/>
  <c r="BF114" i="3" s="1"/>
  <c r="BF115" i="3" s="1"/>
  <c r="BE113" i="3"/>
  <c r="BD113" i="3"/>
  <c r="BC113" i="3"/>
  <c r="BB113" i="3"/>
  <c r="BA113" i="3"/>
  <c r="BA114" i="3" s="1"/>
  <c r="BA115" i="3" s="1"/>
  <c r="AZ113" i="3"/>
  <c r="AZ114" i="3" s="1"/>
  <c r="AY113" i="3"/>
  <c r="AX113" i="3"/>
  <c r="AX114" i="3" s="1"/>
  <c r="AY115" i="3" s="1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L114" i="3" s="1"/>
  <c r="AK113" i="3"/>
  <c r="AJ113" i="3"/>
  <c r="AJ114" i="3" s="1"/>
  <c r="AI113" i="3"/>
  <c r="AH113" i="3"/>
  <c r="AG113" i="3"/>
  <c r="AF113" i="3"/>
  <c r="AF114" i="3" s="1"/>
  <c r="AF115" i="3" s="1"/>
  <c r="AE113" i="3"/>
  <c r="AE114" i="3" s="1"/>
  <c r="AE115" i="3" s="1"/>
  <c r="AD113" i="3"/>
  <c r="AD114" i="3" s="1"/>
  <c r="AD115" i="3" s="1"/>
  <c r="AC113" i="3"/>
  <c r="AB113" i="3"/>
  <c r="AA113" i="3"/>
  <c r="Z113" i="3"/>
  <c r="Y113" i="3"/>
  <c r="X113" i="3"/>
  <c r="W113" i="3"/>
  <c r="V113" i="3"/>
  <c r="U113" i="3"/>
  <c r="T113" i="3"/>
  <c r="S113" i="3"/>
  <c r="O113" i="3"/>
  <c r="O114" i="3" s="1"/>
  <c r="N113" i="3"/>
  <c r="M113" i="3"/>
  <c r="L113" i="3"/>
  <c r="J113" i="3"/>
  <c r="J114" i="3" s="1"/>
  <c r="I113" i="3"/>
  <c r="I114" i="3" s="1"/>
  <c r="H113" i="3"/>
  <c r="H114" i="3" s="1"/>
  <c r="G113" i="3"/>
  <c r="F113" i="3"/>
  <c r="E113" i="3"/>
  <c r="C113" i="3"/>
  <c r="A113" i="3"/>
  <c r="A114" i="3" s="1"/>
  <c r="S24" i="3"/>
  <c r="R113" i="3" s="1"/>
  <c r="R114" i="3" s="1"/>
  <c r="R115" i="3" s="1"/>
  <c r="R24" i="3"/>
  <c r="Q113" i="3" s="1"/>
  <c r="Q114" i="3" s="1"/>
  <c r="Q115" i="3" s="1"/>
  <c r="Q24" i="3"/>
  <c r="P113" i="3" s="1"/>
  <c r="P114" i="3" s="1"/>
  <c r="P115" i="3" s="1"/>
  <c r="L24" i="3"/>
  <c r="K113" i="3" s="1"/>
  <c r="K114" i="3" s="1"/>
  <c r="K24" i="3"/>
  <c r="J24" i="3"/>
  <c r="E24" i="3"/>
  <c r="D113" i="3" s="1"/>
  <c r="D114" i="3" s="1"/>
  <c r="D115" i="3" s="1"/>
  <c r="D24" i="3"/>
  <c r="C24" i="3"/>
  <c r="B113" i="3" s="1"/>
  <c r="B114" i="3" s="1"/>
  <c r="B115" i="3" s="1"/>
  <c r="I115" i="3" l="1"/>
  <c r="K115" i="3"/>
  <c r="J115" i="3"/>
  <c r="AM115" i="3"/>
  <c r="C115" i="3"/>
  <c r="AL115" i="3"/>
  <c r="AZ115" i="3"/>
  <c r="Y115" i="3"/>
  <c r="F120" i="3"/>
  <c r="G120" i="3"/>
  <c r="B124" i="3"/>
  <c r="A124" i="3" s="1"/>
  <c r="W115" i="3"/>
  <c r="E124" i="3"/>
</calcChain>
</file>

<file path=xl/sharedStrings.xml><?xml version="1.0" encoding="utf-8"?>
<sst xmlns="http://schemas.openxmlformats.org/spreadsheetml/2006/main" count="1384" uniqueCount="27">
  <si>
    <t>gson</t>
  </si>
  <si>
    <t>gpt-4o-mini</t>
  </si>
  <si>
    <t>deepseek</t>
  </si>
  <si>
    <t>qwen2.5-coder:14b</t>
  </si>
  <si>
    <t>qwen2.5-coder:7b</t>
  </si>
  <si>
    <t>deepseek-coder-v2:16b</t>
  </si>
  <si>
    <t>deepseek-coder:6.7b</t>
  </si>
  <si>
    <t>codellama:13b</t>
  </si>
  <si>
    <t>codellama:7b</t>
  </si>
  <si>
    <t>Refactoring Type</t>
  </si>
  <si>
    <t>Total</t>
  </si>
  <si>
    <t>Compile &amp; Test</t>
  </si>
  <si>
    <t>RM Detection</t>
  </si>
  <si>
    <t>Refactoring Success</t>
  </si>
  <si>
    <t>Extract Method</t>
  </si>
  <si>
    <t>Inline Method</t>
  </si>
  <si>
    <t>Move Method</t>
  </si>
  <si>
    <t>Extract And Move Method</t>
  </si>
  <si>
    <t>Move And Rename Method</t>
  </si>
  <si>
    <t>Move And Inline Method</t>
  </si>
  <si>
    <t>guava</t>
  </si>
  <si>
    <t>hertzbeat</t>
  </si>
  <si>
    <t>jadx</t>
  </si>
  <si>
    <t>shardingsphere-elasticjob</t>
  </si>
  <si>
    <t>zxing</t>
  </si>
  <si>
    <t>shiro</t>
  </si>
  <si>
    <t>shenyu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</si>
</sst>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color rgb="FFA31515"/>
      <name val="Menlo"/>
      <family val="2"/>
    </font>
    <font>
      <sz val="9"/>
      <color rgb="FF00800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K140"/>
  <sheetViews>
    <sheetView tabSelected="1" topLeftCell="A105" workbookViewId="0">
      <selection activeCell="L148" sqref="L148"/>
    </sheetView>
  </sheetViews>
  <sheetFormatPr baseColWidth="10" defaultColWidth="12.6640625" defaultRowHeight="15.75" customHeight="1" x14ac:dyDescent="0.15"/>
  <sheetData>
    <row r="1" spans="1:63" ht="15.75" customHeight="1" x14ac:dyDescent="0.15">
      <c r="A1" s="1" t="s">
        <v>0</v>
      </c>
      <c r="C1" s="1">
        <v>21</v>
      </c>
    </row>
    <row r="3" spans="1:63" ht="15.75" customHeight="1" x14ac:dyDescent="0.15">
      <c r="A3" s="1" t="s">
        <v>1</v>
      </c>
      <c r="H3" s="1">
        <v>3.5</v>
      </c>
      <c r="O3" s="1" t="s">
        <v>2</v>
      </c>
      <c r="V3" s="2" t="s">
        <v>3</v>
      </c>
      <c r="AB3" s="2"/>
      <c r="AC3" s="3" t="s">
        <v>4</v>
      </c>
      <c r="AI3" s="3"/>
      <c r="AJ3" s="2" t="s">
        <v>5</v>
      </c>
      <c r="AL3" s="3"/>
      <c r="AP3" s="3"/>
      <c r="AQ3" s="2" t="s">
        <v>6</v>
      </c>
      <c r="AT3" s="3"/>
      <c r="AX3" s="2" t="s">
        <v>7</v>
      </c>
      <c r="BE3" s="2" t="s">
        <v>8</v>
      </c>
    </row>
    <row r="4" spans="1:63" ht="15.75" customHeight="1" x14ac:dyDescent="0.1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O4" s="1" t="s">
        <v>9</v>
      </c>
      <c r="P4" s="1" t="s">
        <v>10</v>
      </c>
      <c r="Q4" s="1" t="s">
        <v>11</v>
      </c>
      <c r="R4" s="1" t="s">
        <v>12</v>
      </c>
      <c r="S4" s="1" t="s">
        <v>13</v>
      </c>
      <c r="V4" s="1" t="s">
        <v>9</v>
      </c>
      <c r="W4" s="1" t="s">
        <v>10</v>
      </c>
      <c r="X4" s="1" t="s">
        <v>11</v>
      </c>
      <c r="Y4" s="1" t="s">
        <v>12</v>
      </c>
      <c r="Z4" s="1" t="s">
        <v>13</v>
      </c>
      <c r="AC4" s="1" t="s">
        <v>9</v>
      </c>
      <c r="AD4" s="1" t="s">
        <v>10</v>
      </c>
      <c r="AE4" s="1" t="s">
        <v>11</v>
      </c>
      <c r="AF4" s="1" t="s">
        <v>12</v>
      </c>
      <c r="AG4" s="1" t="s">
        <v>13</v>
      </c>
      <c r="AJ4" s="1" t="s">
        <v>9</v>
      </c>
      <c r="AK4" s="1" t="s">
        <v>10</v>
      </c>
      <c r="AL4" s="1" t="s">
        <v>11</v>
      </c>
      <c r="AM4" s="1" t="s">
        <v>12</v>
      </c>
      <c r="AN4" s="1" t="s">
        <v>13</v>
      </c>
      <c r="AQ4" s="1" t="s">
        <v>9</v>
      </c>
      <c r="AR4" s="1" t="s">
        <v>10</v>
      </c>
      <c r="AS4" s="1" t="s">
        <v>11</v>
      </c>
      <c r="AT4" s="1" t="s">
        <v>12</v>
      </c>
      <c r="AU4" s="1" t="s">
        <v>13</v>
      </c>
      <c r="AX4" s="1" t="s">
        <v>9</v>
      </c>
      <c r="AY4" s="1" t="s">
        <v>10</v>
      </c>
      <c r="AZ4" s="1" t="s">
        <v>11</v>
      </c>
      <c r="BA4" s="1" t="s">
        <v>12</v>
      </c>
      <c r="BB4" s="1" t="s">
        <v>13</v>
      </c>
      <c r="BE4" s="1" t="s">
        <v>9</v>
      </c>
      <c r="BF4" s="1" t="s">
        <v>10</v>
      </c>
      <c r="BG4" s="1" t="s">
        <v>11</v>
      </c>
      <c r="BH4" s="1" t="s">
        <v>12</v>
      </c>
      <c r="BI4" s="1" t="s">
        <v>13</v>
      </c>
    </row>
    <row r="5" spans="1:63" ht="15.75" customHeight="1" x14ac:dyDescent="0.15">
      <c r="A5" s="1" t="s">
        <v>14</v>
      </c>
      <c r="B5" s="1">
        <v>14</v>
      </c>
      <c r="C5" s="1">
        <v>11</v>
      </c>
      <c r="D5" s="1">
        <v>14</v>
      </c>
      <c r="E5" s="1">
        <v>11</v>
      </c>
      <c r="H5" s="1" t="s">
        <v>14</v>
      </c>
      <c r="I5" s="1">
        <v>14</v>
      </c>
      <c r="J5" s="1">
        <v>1</v>
      </c>
      <c r="K5" s="1">
        <v>1</v>
      </c>
      <c r="L5" s="1">
        <v>1</v>
      </c>
      <c r="O5" s="1" t="s">
        <v>14</v>
      </c>
      <c r="P5" s="1">
        <v>14</v>
      </c>
      <c r="Q5" s="1">
        <v>13</v>
      </c>
      <c r="R5" s="1">
        <v>13</v>
      </c>
      <c r="S5" s="1">
        <v>13</v>
      </c>
      <c r="V5" s="1" t="s">
        <v>14</v>
      </c>
      <c r="W5" s="1">
        <v>14</v>
      </c>
      <c r="X5" s="1">
        <v>0</v>
      </c>
      <c r="Y5" s="1">
        <v>4</v>
      </c>
      <c r="Z5" s="1">
        <v>0</v>
      </c>
      <c r="AC5" s="1" t="s">
        <v>14</v>
      </c>
      <c r="AD5" s="1">
        <v>14</v>
      </c>
      <c r="AE5" s="1">
        <v>0</v>
      </c>
      <c r="AF5" s="1">
        <v>2</v>
      </c>
      <c r="AG5" s="1">
        <v>0</v>
      </c>
      <c r="AJ5" s="1" t="s">
        <v>14</v>
      </c>
      <c r="AK5" s="1">
        <v>14</v>
      </c>
      <c r="AL5" s="1">
        <v>7</v>
      </c>
      <c r="AM5" s="1">
        <v>3</v>
      </c>
      <c r="AN5" s="1">
        <v>0</v>
      </c>
      <c r="AQ5" s="1" t="s">
        <v>14</v>
      </c>
      <c r="AR5" s="1">
        <v>14</v>
      </c>
      <c r="AS5" s="1">
        <v>0</v>
      </c>
      <c r="AT5" s="1">
        <v>2</v>
      </c>
      <c r="AU5" s="1">
        <v>0</v>
      </c>
      <c r="AX5" s="1" t="s">
        <v>14</v>
      </c>
      <c r="AY5" s="1">
        <v>14</v>
      </c>
      <c r="AZ5" s="1">
        <v>0</v>
      </c>
      <c r="BA5" s="1">
        <v>0</v>
      </c>
      <c r="BB5" s="1">
        <v>0</v>
      </c>
      <c r="BE5" s="1" t="s">
        <v>14</v>
      </c>
      <c r="BF5" s="1">
        <v>14</v>
      </c>
      <c r="BG5" s="1">
        <v>2</v>
      </c>
      <c r="BH5" s="1">
        <v>0</v>
      </c>
      <c r="BI5" s="1">
        <v>0</v>
      </c>
    </row>
    <row r="6" spans="1:63" ht="15.75" customHeight="1" x14ac:dyDescent="0.15">
      <c r="A6" s="1" t="s">
        <v>15</v>
      </c>
      <c r="B6" s="1">
        <v>0</v>
      </c>
      <c r="C6" s="1">
        <v>0</v>
      </c>
      <c r="D6" s="1">
        <v>0</v>
      </c>
      <c r="E6" s="1">
        <v>0</v>
      </c>
      <c r="H6" s="1" t="s">
        <v>15</v>
      </c>
      <c r="I6" s="1">
        <v>0</v>
      </c>
      <c r="J6" s="1">
        <v>0</v>
      </c>
      <c r="K6" s="1">
        <v>0</v>
      </c>
      <c r="L6" s="1">
        <v>0</v>
      </c>
      <c r="O6" s="1" t="s">
        <v>15</v>
      </c>
      <c r="P6" s="1">
        <v>0</v>
      </c>
      <c r="Q6" s="1">
        <v>0</v>
      </c>
      <c r="R6" s="1">
        <v>0</v>
      </c>
      <c r="S6" s="1">
        <v>0</v>
      </c>
      <c r="V6" s="1" t="s">
        <v>15</v>
      </c>
      <c r="W6" s="1">
        <v>0</v>
      </c>
      <c r="X6" s="1">
        <v>0</v>
      </c>
      <c r="Y6" s="1">
        <v>0</v>
      </c>
      <c r="Z6" s="1">
        <v>0</v>
      </c>
      <c r="AC6" s="1" t="s">
        <v>15</v>
      </c>
      <c r="AD6" s="1">
        <v>0</v>
      </c>
      <c r="AE6" s="1">
        <v>0</v>
      </c>
      <c r="AF6" s="1">
        <v>0</v>
      </c>
      <c r="AG6" s="1">
        <v>0</v>
      </c>
      <c r="AJ6" s="1" t="s">
        <v>15</v>
      </c>
      <c r="AK6" s="1">
        <v>0</v>
      </c>
      <c r="AL6" s="1">
        <v>0</v>
      </c>
      <c r="AM6" s="1">
        <v>0</v>
      </c>
      <c r="AN6" s="1">
        <v>0</v>
      </c>
      <c r="AQ6" s="1" t="s">
        <v>15</v>
      </c>
      <c r="AR6" s="1">
        <v>0</v>
      </c>
      <c r="AS6" s="1">
        <v>0</v>
      </c>
      <c r="AT6" s="1">
        <v>0</v>
      </c>
      <c r="AU6" s="1">
        <v>0</v>
      </c>
      <c r="AX6" s="1" t="s">
        <v>15</v>
      </c>
      <c r="AY6" s="1">
        <v>0</v>
      </c>
      <c r="AZ6" s="1">
        <v>0</v>
      </c>
      <c r="BA6" s="1">
        <v>0</v>
      </c>
      <c r="BB6" s="1">
        <v>0</v>
      </c>
      <c r="BE6" s="1" t="s">
        <v>15</v>
      </c>
      <c r="BF6" s="1">
        <v>0</v>
      </c>
      <c r="BG6" s="1">
        <v>0</v>
      </c>
      <c r="BH6" s="1">
        <v>0</v>
      </c>
      <c r="BI6" s="1">
        <v>0</v>
      </c>
    </row>
    <row r="7" spans="1:63" ht="15.75" customHeight="1" x14ac:dyDescent="0.15">
      <c r="A7" s="1" t="s">
        <v>16</v>
      </c>
      <c r="B7" s="1">
        <v>7</v>
      </c>
      <c r="C7" s="1">
        <v>1</v>
      </c>
      <c r="D7" s="1">
        <v>2</v>
      </c>
      <c r="E7" s="1">
        <v>1</v>
      </c>
      <c r="H7" s="1" t="s">
        <v>16</v>
      </c>
      <c r="I7" s="1">
        <v>7</v>
      </c>
      <c r="J7" s="1">
        <v>0</v>
      </c>
      <c r="K7" s="1">
        <v>3</v>
      </c>
      <c r="L7" s="1">
        <v>0</v>
      </c>
      <c r="O7" s="1" t="s">
        <v>16</v>
      </c>
      <c r="P7" s="1">
        <v>7</v>
      </c>
      <c r="Q7" s="1">
        <v>0</v>
      </c>
      <c r="R7" s="1">
        <v>5</v>
      </c>
      <c r="S7" s="1">
        <v>0</v>
      </c>
      <c r="V7" s="1" t="s">
        <v>16</v>
      </c>
      <c r="W7" s="1">
        <v>7</v>
      </c>
      <c r="X7" s="1">
        <v>0</v>
      </c>
      <c r="Y7" s="1">
        <v>0</v>
      </c>
      <c r="Z7" s="1">
        <v>0</v>
      </c>
      <c r="AC7" s="1" t="s">
        <v>16</v>
      </c>
      <c r="AD7" s="1">
        <v>7</v>
      </c>
      <c r="AE7" s="1">
        <v>0</v>
      </c>
      <c r="AF7" s="1">
        <v>0</v>
      </c>
      <c r="AG7" s="1">
        <v>0</v>
      </c>
      <c r="AJ7" s="1" t="s">
        <v>16</v>
      </c>
      <c r="AK7" s="1">
        <v>7</v>
      </c>
      <c r="AL7" s="1">
        <v>0</v>
      </c>
      <c r="AM7" s="1">
        <v>0</v>
      </c>
      <c r="AN7" s="1">
        <v>0</v>
      </c>
      <c r="AQ7" s="1" t="s">
        <v>16</v>
      </c>
      <c r="AR7" s="1">
        <v>7</v>
      </c>
      <c r="AS7" s="1">
        <v>0</v>
      </c>
      <c r="AT7" s="1">
        <v>0</v>
      </c>
      <c r="AU7" s="1">
        <v>0</v>
      </c>
      <c r="AX7" s="1" t="s">
        <v>16</v>
      </c>
      <c r="AY7" s="1">
        <v>7</v>
      </c>
      <c r="AZ7" s="1">
        <v>0</v>
      </c>
      <c r="BA7" s="1">
        <v>0</v>
      </c>
      <c r="BB7" s="1">
        <v>0</v>
      </c>
      <c r="BE7" s="1" t="s">
        <v>16</v>
      </c>
      <c r="BF7" s="1">
        <v>7</v>
      </c>
      <c r="BG7" s="1">
        <v>0</v>
      </c>
      <c r="BH7" s="1">
        <v>0</v>
      </c>
      <c r="BI7" s="1">
        <v>0</v>
      </c>
    </row>
    <row r="8" spans="1:63" ht="15.75" customHeight="1" x14ac:dyDescent="0.15">
      <c r="A8" s="1" t="s">
        <v>17</v>
      </c>
      <c r="B8" s="1">
        <v>0</v>
      </c>
      <c r="C8" s="1">
        <v>0</v>
      </c>
      <c r="D8" s="1">
        <v>0</v>
      </c>
      <c r="E8" s="1">
        <v>0</v>
      </c>
      <c r="H8" s="1" t="s">
        <v>17</v>
      </c>
      <c r="I8" s="1">
        <v>0</v>
      </c>
      <c r="J8" s="1">
        <v>0</v>
      </c>
      <c r="K8" s="1">
        <v>0</v>
      </c>
      <c r="L8" s="1">
        <v>0</v>
      </c>
      <c r="O8" s="1" t="s">
        <v>17</v>
      </c>
      <c r="P8" s="1">
        <v>0</v>
      </c>
      <c r="Q8" s="1">
        <v>0</v>
      </c>
      <c r="R8" s="1">
        <v>0</v>
      </c>
      <c r="S8" s="1">
        <v>0</v>
      </c>
      <c r="V8" s="1" t="s">
        <v>17</v>
      </c>
      <c r="W8" s="1">
        <v>0</v>
      </c>
      <c r="X8" s="1">
        <v>0</v>
      </c>
      <c r="Y8" s="1">
        <v>0</v>
      </c>
      <c r="Z8" s="1">
        <v>0</v>
      </c>
      <c r="AC8" s="1" t="s">
        <v>17</v>
      </c>
      <c r="AD8" s="1">
        <v>0</v>
      </c>
      <c r="AE8" s="1">
        <v>0</v>
      </c>
      <c r="AF8" s="1">
        <v>0</v>
      </c>
      <c r="AG8" s="1">
        <v>0</v>
      </c>
      <c r="AJ8" s="1" t="s">
        <v>17</v>
      </c>
      <c r="AK8" s="1">
        <v>0</v>
      </c>
      <c r="AL8" s="1">
        <v>0</v>
      </c>
      <c r="AM8" s="1">
        <v>0</v>
      </c>
      <c r="AN8" s="1">
        <v>0</v>
      </c>
      <c r="AQ8" s="1" t="s">
        <v>17</v>
      </c>
      <c r="AR8" s="1">
        <v>0</v>
      </c>
      <c r="AS8" s="1">
        <v>0</v>
      </c>
      <c r="AT8" s="1">
        <v>0</v>
      </c>
      <c r="AU8" s="1">
        <v>0</v>
      </c>
      <c r="AX8" s="1" t="s">
        <v>17</v>
      </c>
      <c r="AY8" s="1">
        <v>0</v>
      </c>
      <c r="AZ8" s="1">
        <v>0</v>
      </c>
      <c r="BA8" s="1">
        <v>0</v>
      </c>
      <c r="BB8" s="1">
        <v>0</v>
      </c>
      <c r="BE8" s="1" t="s">
        <v>17</v>
      </c>
      <c r="BF8" s="1">
        <v>0</v>
      </c>
      <c r="BG8" s="1">
        <v>0</v>
      </c>
      <c r="BH8" s="1">
        <v>0</v>
      </c>
      <c r="BI8" s="1">
        <v>0</v>
      </c>
    </row>
    <row r="9" spans="1:63" ht="15.75" customHeight="1" x14ac:dyDescent="0.15">
      <c r="A9" s="1" t="s">
        <v>18</v>
      </c>
      <c r="B9" s="1">
        <v>0</v>
      </c>
      <c r="C9" s="1">
        <v>0</v>
      </c>
      <c r="D9" s="1">
        <v>0</v>
      </c>
      <c r="E9" s="1">
        <v>0</v>
      </c>
      <c r="H9" s="1" t="s">
        <v>18</v>
      </c>
      <c r="I9" s="1">
        <v>0</v>
      </c>
      <c r="J9" s="1">
        <v>0</v>
      </c>
      <c r="K9" s="1">
        <v>0</v>
      </c>
      <c r="L9" s="1">
        <v>0</v>
      </c>
      <c r="O9" s="1" t="s">
        <v>18</v>
      </c>
      <c r="P9" s="1">
        <v>0</v>
      </c>
      <c r="Q9" s="1">
        <v>0</v>
      </c>
      <c r="R9" s="1">
        <v>0</v>
      </c>
      <c r="S9" s="1">
        <v>0</v>
      </c>
      <c r="V9" s="1" t="s">
        <v>18</v>
      </c>
      <c r="W9" s="1">
        <v>0</v>
      </c>
      <c r="X9" s="1">
        <v>0</v>
      </c>
      <c r="Y9" s="1">
        <v>0</v>
      </c>
      <c r="Z9" s="1">
        <v>0</v>
      </c>
      <c r="AC9" s="1" t="s">
        <v>18</v>
      </c>
      <c r="AD9" s="1">
        <v>0</v>
      </c>
      <c r="AE9" s="1">
        <v>0</v>
      </c>
      <c r="AF9" s="1">
        <v>0</v>
      </c>
      <c r="AG9" s="1">
        <v>0</v>
      </c>
      <c r="AJ9" s="1" t="s">
        <v>18</v>
      </c>
      <c r="AK9" s="1">
        <v>0</v>
      </c>
      <c r="AL9" s="1">
        <v>0</v>
      </c>
      <c r="AM9" s="1">
        <v>0</v>
      </c>
      <c r="AN9" s="1">
        <v>0</v>
      </c>
      <c r="AQ9" s="1" t="s">
        <v>18</v>
      </c>
      <c r="AR9" s="1">
        <v>0</v>
      </c>
      <c r="AS9" s="1">
        <v>0</v>
      </c>
      <c r="AT9" s="1">
        <v>0</v>
      </c>
      <c r="AU9" s="1">
        <v>0</v>
      </c>
      <c r="AX9" s="1" t="s">
        <v>18</v>
      </c>
      <c r="AY9" s="1">
        <v>0</v>
      </c>
      <c r="AZ9" s="1">
        <v>0</v>
      </c>
      <c r="BA9" s="1">
        <v>0</v>
      </c>
      <c r="BB9" s="1">
        <v>0</v>
      </c>
      <c r="BE9" s="1" t="s">
        <v>18</v>
      </c>
      <c r="BF9" s="1">
        <v>0</v>
      </c>
      <c r="BG9" s="1">
        <v>0</v>
      </c>
      <c r="BH9" s="1">
        <v>0</v>
      </c>
      <c r="BI9" s="1">
        <v>0</v>
      </c>
    </row>
    <row r="10" spans="1:63" ht="15.75" customHeight="1" x14ac:dyDescent="0.15">
      <c r="A10" s="1" t="s">
        <v>19</v>
      </c>
      <c r="B10" s="1">
        <v>0</v>
      </c>
      <c r="C10" s="1">
        <v>0</v>
      </c>
      <c r="D10" s="1">
        <v>0</v>
      </c>
      <c r="E10" s="1">
        <v>0</v>
      </c>
      <c r="H10" s="1" t="s">
        <v>19</v>
      </c>
      <c r="I10" s="1">
        <v>0</v>
      </c>
      <c r="J10" s="1">
        <v>0</v>
      </c>
      <c r="K10" s="1">
        <v>0</v>
      </c>
      <c r="L10" s="1">
        <v>0</v>
      </c>
      <c r="O10" s="1" t="s">
        <v>19</v>
      </c>
      <c r="P10" s="1">
        <v>0</v>
      </c>
      <c r="Q10" s="1">
        <v>0</v>
      </c>
      <c r="R10" s="1">
        <v>0</v>
      </c>
      <c r="S10" s="1">
        <v>0</v>
      </c>
      <c r="V10" s="1" t="s">
        <v>19</v>
      </c>
      <c r="W10" s="1">
        <v>0</v>
      </c>
      <c r="X10" s="1">
        <v>0</v>
      </c>
      <c r="Y10" s="1">
        <v>0</v>
      </c>
      <c r="Z10" s="1">
        <v>0</v>
      </c>
      <c r="AC10" s="1" t="s">
        <v>19</v>
      </c>
      <c r="AD10" s="1">
        <v>0</v>
      </c>
      <c r="AE10" s="1">
        <v>0</v>
      </c>
      <c r="AF10" s="1">
        <v>0</v>
      </c>
      <c r="AG10" s="1">
        <v>0</v>
      </c>
      <c r="AJ10" s="1" t="s">
        <v>19</v>
      </c>
      <c r="AK10" s="1">
        <v>0</v>
      </c>
      <c r="AL10" s="1">
        <v>0</v>
      </c>
      <c r="AM10" s="1">
        <v>0</v>
      </c>
      <c r="AN10" s="1">
        <v>0</v>
      </c>
      <c r="AQ10" s="1" t="s">
        <v>19</v>
      </c>
      <c r="AR10" s="1">
        <v>0</v>
      </c>
      <c r="AS10" s="1">
        <v>0</v>
      </c>
      <c r="AT10" s="1">
        <v>0</v>
      </c>
      <c r="AU10" s="1">
        <v>0</v>
      </c>
      <c r="AX10" s="1" t="s">
        <v>19</v>
      </c>
      <c r="AY10" s="1">
        <v>0</v>
      </c>
      <c r="AZ10" s="1">
        <v>0</v>
      </c>
      <c r="BA10" s="1">
        <v>0</v>
      </c>
      <c r="BB10" s="1">
        <v>0</v>
      </c>
      <c r="BE10" s="1" t="s">
        <v>19</v>
      </c>
      <c r="BF10" s="1">
        <v>0</v>
      </c>
      <c r="BG10" s="1">
        <v>0</v>
      </c>
      <c r="BH10" s="1">
        <v>0</v>
      </c>
      <c r="BI10" s="1">
        <v>0</v>
      </c>
    </row>
    <row r="11" spans="1:63" ht="15.75" customHeight="1" x14ac:dyDescent="0.15">
      <c r="A11" s="1" t="s">
        <v>10</v>
      </c>
      <c r="B11" s="1">
        <v>21</v>
      </c>
      <c r="C11" s="1">
        <v>12</v>
      </c>
      <c r="D11" s="1">
        <v>16</v>
      </c>
      <c r="E11" s="1">
        <v>12</v>
      </c>
      <c r="H11" s="1" t="s">
        <v>10</v>
      </c>
      <c r="I11" s="1">
        <v>21</v>
      </c>
      <c r="J11" s="1">
        <v>1</v>
      </c>
      <c r="K11" s="1">
        <v>4</v>
      </c>
      <c r="L11" s="1">
        <v>1</v>
      </c>
      <c r="O11" s="1" t="s">
        <v>10</v>
      </c>
      <c r="P11" s="1">
        <v>21</v>
      </c>
      <c r="Q11" s="1">
        <v>13</v>
      </c>
      <c r="R11" s="1">
        <v>18</v>
      </c>
      <c r="S11" s="1">
        <v>13</v>
      </c>
      <c r="V11" s="1" t="s">
        <v>10</v>
      </c>
      <c r="W11" s="1">
        <v>21</v>
      </c>
      <c r="X11" s="1">
        <v>0</v>
      </c>
      <c r="Y11" s="1">
        <v>4</v>
      </c>
      <c r="Z11" s="1">
        <v>0</v>
      </c>
      <c r="AC11" s="1" t="s">
        <v>10</v>
      </c>
      <c r="AD11" s="1">
        <v>21</v>
      </c>
      <c r="AE11" s="1">
        <v>0</v>
      </c>
      <c r="AF11" s="1">
        <v>2</v>
      </c>
      <c r="AG11" s="1">
        <v>0</v>
      </c>
      <c r="AJ11" s="1" t="s">
        <v>10</v>
      </c>
      <c r="AK11" s="1">
        <v>21</v>
      </c>
      <c r="AL11" s="1">
        <v>7</v>
      </c>
      <c r="AM11" s="1">
        <v>3</v>
      </c>
      <c r="AN11" s="1">
        <v>0</v>
      </c>
      <c r="AQ11" s="1" t="s">
        <v>10</v>
      </c>
      <c r="AR11" s="1">
        <v>21</v>
      </c>
      <c r="AS11" s="1">
        <v>0</v>
      </c>
      <c r="AT11" s="1">
        <v>2</v>
      </c>
      <c r="AU11" s="1">
        <v>0</v>
      </c>
      <c r="AX11" s="1" t="s">
        <v>10</v>
      </c>
      <c r="AY11" s="1">
        <v>21</v>
      </c>
      <c r="AZ11" s="1">
        <v>0</v>
      </c>
      <c r="BA11" s="1">
        <v>0</v>
      </c>
      <c r="BB11" s="1">
        <v>0</v>
      </c>
      <c r="BE11" s="1" t="s">
        <v>10</v>
      </c>
      <c r="BF11" s="1">
        <v>21</v>
      </c>
      <c r="BG11" s="1">
        <v>2</v>
      </c>
      <c r="BH11" s="1">
        <v>0</v>
      </c>
      <c r="BI11" s="1">
        <v>0</v>
      </c>
    </row>
    <row r="13" spans="1:63" ht="15.75" customHeight="1" x14ac:dyDescent="0.15">
      <c r="A13" s="1" t="s">
        <v>10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10</v>
      </c>
      <c r="I13" s="1" t="s">
        <v>14</v>
      </c>
      <c r="J13" s="1" t="s">
        <v>15</v>
      </c>
      <c r="K13" s="1" t="s">
        <v>16</v>
      </c>
      <c r="L13" s="1" t="s">
        <v>17</v>
      </c>
      <c r="M13" s="1" t="s">
        <v>18</v>
      </c>
      <c r="N13" s="1" t="s">
        <v>19</v>
      </c>
      <c r="O13" s="1" t="s">
        <v>10</v>
      </c>
      <c r="P13" s="1" t="s">
        <v>14</v>
      </c>
      <c r="Q13" s="1" t="s">
        <v>15</v>
      </c>
      <c r="R13" s="1" t="s">
        <v>16</v>
      </c>
      <c r="S13" s="1" t="s">
        <v>17</v>
      </c>
      <c r="T13" s="1" t="s">
        <v>18</v>
      </c>
      <c r="U13" s="1" t="s">
        <v>19</v>
      </c>
      <c r="V13" s="1" t="s">
        <v>10</v>
      </c>
      <c r="W13" s="1" t="s">
        <v>14</v>
      </c>
      <c r="X13" s="1" t="s">
        <v>15</v>
      </c>
      <c r="Y13" s="1" t="s">
        <v>16</v>
      </c>
      <c r="Z13" s="1" t="s">
        <v>17</v>
      </c>
      <c r="AA13" s="1" t="s">
        <v>18</v>
      </c>
      <c r="AB13" s="1" t="s">
        <v>19</v>
      </c>
      <c r="AC13" s="1" t="s">
        <v>10</v>
      </c>
      <c r="AD13" s="1" t="s">
        <v>14</v>
      </c>
      <c r="AE13" s="1" t="s">
        <v>15</v>
      </c>
      <c r="AF13" s="1" t="s">
        <v>16</v>
      </c>
      <c r="AG13" s="1" t="s">
        <v>17</v>
      </c>
      <c r="AH13" s="1" t="s">
        <v>18</v>
      </c>
      <c r="AI13" s="1" t="s">
        <v>19</v>
      </c>
      <c r="AJ13" s="1" t="s">
        <v>10</v>
      </c>
      <c r="AK13" s="1" t="s">
        <v>14</v>
      </c>
      <c r="AL13" s="1" t="s">
        <v>15</v>
      </c>
      <c r="AM13" s="1" t="s">
        <v>16</v>
      </c>
      <c r="AN13" s="1" t="s">
        <v>17</v>
      </c>
      <c r="AO13" s="1" t="s">
        <v>18</v>
      </c>
      <c r="AP13" s="1" t="s">
        <v>19</v>
      </c>
      <c r="AQ13" s="1" t="s">
        <v>10</v>
      </c>
      <c r="AR13" s="1" t="s">
        <v>14</v>
      </c>
      <c r="AS13" s="1" t="s">
        <v>15</v>
      </c>
      <c r="AT13" s="1" t="s">
        <v>16</v>
      </c>
      <c r="AU13" s="1" t="s">
        <v>17</v>
      </c>
      <c r="AV13" s="1" t="s">
        <v>18</v>
      </c>
      <c r="AW13" s="1" t="s">
        <v>19</v>
      </c>
      <c r="AX13" s="1" t="s">
        <v>10</v>
      </c>
      <c r="AY13" s="1" t="s">
        <v>14</v>
      </c>
      <c r="AZ13" s="1" t="s">
        <v>15</v>
      </c>
      <c r="BA13" s="1" t="s">
        <v>16</v>
      </c>
      <c r="BB13" s="1" t="s">
        <v>17</v>
      </c>
      <c r="BC13" s="1" t="s">
        <v>18</v>
      </c>
      <c r="BD13" s="1" t="s">
        <v>19</v>
      </c>
      <c r="BE13" s="1" t="s">
        <v>10</v>
      </c>
      <c r="BF13" s="1" t="s">
        <v>14</v>
      </c>
      <c r="BG13" s="1" t="s">
        <v>15</v>
      </c>
      <c r="BH13" s="1" t="s">
        <v>16</v>
      </c>
      <c r="BI13" s="1" t="s">
        <v>17</v>
      </c>
      <c r="BJ13" s="1" t="s">
        <v>18</v>
      </c>
      <c r="BK13" s="1" t="s">
        <v>19</v>
      </c>
    </row>
    <row r="14" spans="1:63" ht="15.75" customHeight="1" x14ac:dyDescent="0.15">
      <c r="A14" s="1">
        <v>12</v>
      </c>
      <c r="B14" s="1">
        <v>11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1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13</v>
      </c>
      <c r="P14" s="1">
        <v>13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</row>
    <row r="16" spans="1:63" ht="15.75" customHeight="1" x14ac:dyDescent="0.15">
      <c r="A16" s="1" t="s">
        <v>20</v>
      </c>
    </row>
    <row r="17" spans="1:63" ht="15.75" customHeight="1" x14ac:dyDescent="0.15">
      <c r="A17" s="1" t="s">
        <v>9</v>
      </c>
      <c r="B17" s="1" t="s">
        <v>10</v>
      </c>
      <c r="C17" s="1" t="s">
        <v>11</v>
      </c>
      <c r="D17" s="1" t="s">
        <v>12</v>
      </c>
      <c r="E17" s="1" t="s">
        <v>13</v>
      </c>
      <c r="H17" s="1" t="s">
        <v>9</v>
      </c>
      <c r="I17" s="1" t="s">
        <v>10</v>
      </c>
      <c r="J17" s="1" t="s">
        <v>11</v>
      </c>
      <c r="K17" s="1" t="s">
        <v>12</v>
      </c>
      <c r="L17" s="1" t="s">
        <v>13</v>
      </c>
      <c r="O17" s="1" t="s">
        <v>9</v>
      </c>
      <c r="P17" s="1" t="s">
        <v>10</v>
      </c>
      <c r="Q17" s="1" t="s">
        <v>11</v>
      </c>
      <c r="R17" s="1" t="s">
        <v>12</v>
      </c>
      <c r="S17" s="1" t="s">
        <v>13</v>
      </c>
      <c r="V17" s="1" t="s">
        <v>9</v>
      </c>
      <c r="W17" s="1" t="s">
        <v>10</v>
      </c>
      <c r="X17" s="1" t="s">
        <v>11</v>
      </c>
      <c r="Y17" s="1" t="s">
        <v>12</v>
      </c>
      <c r="Z17" s="1" t="s">
        <v>13</v>
      </c>
      <c r="AC17" s="1" t="s">
        <v>9</v>
      </c>
      <c r="AD17" s="1" t="s">
        <v>10</v>
      </c>
      <c r="AE17" s="1" t="s">
        <v>11</v>
      </c>
      <c r="AF17" s="1" t="s">
        <v>12</v>
      </c>
      <c r="AG17" s="1" t="s">
        <v>13</v>
      </c>
      <c r="AJ17" s="1" t="s">
        <v>9</v>
      </c>
      <c r="AK17" s="1" t="s">
        <v>10</v>
      </c>
      <c r="AL17" s="1" t="s">
        <v>11</v>
      </c>
      <c r="AM17" s="1" t="s">
        <v>12</v>
      </c>
      <c r="AN17" s="1" t="s">
        <v>13</v>
      </c>
      <c r="AQ17" s="1" t="s">
        <v>9</v>
      </c>
      <c r="AR17" s="1" t="s">
        <v>10</v>
      </c>
      <c r="AS17" s="1" t="s">
        <v>11</v>
      </c>
      <c r="AT17" s="1" t="s">
        <v>12</v>
      </c>
      <c r="AU17" s="1" t="s">
        <v>13</v>
      </c>
      <c r="AX17" s="1" t="s">
        <v>9</v>
      </c>
      <c r="AY17" s="1" t="s">
        <v>10</v>
      </c>
      <c r="AZ17" s="1" t="s">
        <v>11</v>
      </c>
      <c r="BA17" s="1" t="s">
        <v>12</v>
      </c>
      <c r="BB17" s="1" t="s">
        <v>13</v>
      </c>
      <c r="BE17" s="1" t="s">
        <v>9</v>
      </c>
      <c r="BF17" s="1" t="s">
        <v>10</v>
      </c>
      <c r="BG17" s="1" t="s">
        <v>11</v>
      </c>
      <c r="BH17" s="1" t="s">
        <v>12</v>
      </c>
      <c r="BI17" s="1" t="s">
        <v>13</v>
      </c>
    </row>
    <row r="18" spans="1:63" ht="15.75" customHeight="1" x14ac:dyDescent="0.15">
      <c r="A18" s="1" t="s">
        <v>14</v>
      </c>
      <c r="B18" s="1">
        <v>7</v>
      </c>
      <c r="C18" s="1">
        <v>7</v>
      </c>
      <c r="D18" s="1">
        <v>6</v>
      </c>
      <c r="E18" s="1">
        <v>6</v>
      </c>
      <c r="H18" s="1" t="s">
        <v>14</v>
      </c>
      <c r="I18" s="1">
        <v>7</v>
      </c>
      <c r="J18" s="1">
        <v>2</v>
      </c>
      <c r="K18" s="1">
        <v>0</v>
      </c>
      <c r="L18" s="1">
        <v>0</v>
      </c>
      <c r="O18" s="1" t="s">
        <v>14</v>
      </c>
      <c r="P18" s="1">
        <v>7</v>
      </c>
      <c r="Q18" s="1">
        <v>7</v>
      </c>
      <c r="R18" s="1">
        <v>6</v>
      </c>
      <c r="S18" s="1">
        <v>6</v>
      </c>
      <c r="V18" s="1" t="s">
        <v>14</v>
      </c>
      <c r="W18" s="1">
        <v>7</v>
      </c>
      <c r="X18" s="1">
        <v>1</v>
      </c>
      <c r="Y18" s="1">
        <v>0</v>
      </c>
      <c r="Z18" s="1">
        <v>0</v>
      </c>
      <c r="AC18" s="1" t="s">
        <v>14</v>
      </c>
      <c r="AD18" s="1">
        <v>7</v>
      </c>
      <c r="AE18" s="1">
        <v>1</v>
      </c>
      <c r="AF18" s="1">
        <v>0</v>
      </c>
      <c r="AG18" s="1">
        <v>0</v>
      </c>
      <c r="AJ18" s="1" t="s">
        <v>14</v>
      </c>
      <c r="AK18" s="1">
        <v>7</v>
      </c>
      <c r="AL18" s="1">
        <v>2</v>
      </c>
      <c r="AM18" s="1">
        <v>1</v>
      </c>
      <c r="AN18" s="1">
        <v>1</v>
      </c>
      <c r="AQ18" s="1" t="s">
        <v>14</v>
      </c>
      <c r="AR18" s="1">
        <v>7</v>
      </c>
      <c r="AS18" s="1">
        <v>2</v>
      </c>
      <c r="AT18" s="1">
        <v>1</v>
      </c>
      <c r="AU18" s="1">
        <v>1</v>
      </c>
      <c r="AX18" s="1" t="s">
        <v>14</v>
      </c>
      <c r="AY18" s="1">
        <v>7</v>
      </c>
      <c r="AZ18" s="1">
        <v>1</v>
      </c>
      <c r="BA18" s="1">
        <v>0</v>
      </c>
      <c r="BB18" s="1">
        <v>0</v>
      </c>
      <c r="BE18" s="1" t="s">
        <v>14</v>
      </c>
      <c r="BF18" s="1">
        <v>7</v>
      </c>
      <c r="BG18" s="1">
        <v>2</v>
      </c>
      <c r="BH18" s="1">
        <v>0</v>
      </c>
      <c r="BI18" s="1">
        <v>0</v>
      </c>
    </row>
    <row r="19" spans="1:63" ht="15.75" customHeight="1" x14ac:dyDescent="0.15">
      <c r="A19" s="1" t="s">
        <v>15</v>
      </c>
      <c r="B19" s="1">
        <v>35</v>
      </c>
      <c r="C19" s="1">
        <v>35</v>
      </c>
      <c r="D19" s="1">
        <v>33</v>
      </c>
      <c r="E19" s="1">
        <v>33</v>
      </c>
      <c r="H19" s="1" t="s">
        <v>15</v>
      </c>
      <c r="I19" s="1">
        <v>35</v>
      </c>
      <c r="J19" s="1">
        <v>5</v>
      </c>
      <c r="K19" s="1">
        <v>1</v>
      </c>
      <c r="L19" s="1">
        <v>1</v>
      </c>
      <c r="O19" s="1" t="s">
        <v>15</v>
      </c>
      <c r="P19" s="1">
        <v>35</v>
      </c>
      <c r="Q19" s="1">
        <v>35</v>
      </c>
      <c r="R19" s="1">
        <v>33</v>
      </c>
      <c r="S19" s="1">
        <v>33</v>
      </c>
      <c r="V19" s="1" t="s">
        <v>15</v>
      </c>
      <c r="W19" s="1">
        <v>35</v>
      </c>
      <c r="X19" s="1">
        <v>1</v>
      </c>
      <c r="Y19" s="1">
        <v>1</v>
      </c>
      <c r="Z19" s="1">
        <v>1</v>
      </c>
      <c r="AC19" s="1" t="s">
        <v>15</v>
      </c>
      <c r="AD19" s="1">
        <v>35</v>
      </c>
      <c r="AE19" s="1">
        <v>5</v>
      </c>
      <c r="AF19" s="1">
        <v>1</v>
      </c>
      <c r="AG19" s="1">
        <v>1</v>
      </c>
      <c r="AJ19" s="1" t="s">
        <v>15</v>
      </c>
      <c r="AK19" s="1">
        <v>35</v>
      </c>
      <c r="AL19" s="1">
        <v>5</v>
      </c>
      <c r="AM19" s="1">
        <v>1</v>
      </c>
      <c r="AN19" s="1">
        <v>1</v>
      </c>
      <c r="AQ19" s="1" t="s">
        <v>15</v>
      </c>
      <c r="AR19" s="1">
        <v>35</v>
      </c>
      <c r="AS19" s="1">
        <v>5</v>
      </c>
      <c r="AT19" s="1">
        <v>1</v>
      </c>
      <c r="AU19" s="1">
        <v>1</v>
      </c>
      <c r="AX19" s="1" t="s">
        <v>15</v>
      </c>
      <c r="AY19" s="1">
        <v>35</v>
      </c>
      <c r="AZ19" s="1">
        <v>3</v>
      </c>
      <c r="BA19" s="1">
        <v>0</v>
      </c>
      <c r="BB19" s="1">
        <v>0</v>
      </c>
      <c r="BE19" s="1" t="s">
        <v>15</v>
      </c>
      <c r="BF19" s="1">
        <v>35</v>
      </c>
      <c r="BG19" s="1">
        <v>1</v>
      </c>
      <c r="BH19" s="1">
        <v>0</v>
      </c>
      <c r="BI19" s="1">
        <v>0</v>
      </c>
    </row>
    <row r="20" spans="1:63" ht="15.75" customHeight="1" x14ac:dyDescent="0.15">
      <c r="A20" s="1" t="s">
        <v>16</v>
      </c>
      <c r="B20" s="1">
        <v>250</v>
      </c>
      <c r="C20" s="1">
        <v>112</v>
      </c>
      <c r="D20" s="1">
        <v>107</v>
      </c>
      <c r="E20" s="1">
        <v>75</v>
      </c>
      <c r="H20" s="1" t="s">
        <v>16</v>
      </c>
      <c r="I20" s="1">
        <v>250</v>
      </c>
      <c r="J20" s="1">
        <v>25</v>
      </c>
      <c r="K20" s="1">
        <v>30</v>
      </c>
      <c r="L20" s="1">
        <v>20</v>
      </c>
      <c r="O20" s="1" t="s">
        <v>16</v>
      </c>
      <c r="P20" s="1">
        <v>250</v>
      </c>
      <c r="Q20" s="1">
        <v>108</v>
      </c>
      <c r="R20" s="1">
        <v>100</v>
      </c>
      <c r="S20" s="1">
        <v>70</v>
      </c>
      <c r="V20" s="1" t="s">
        <v>16</v>
      </c>
      <c r="W20" s="1">
        <v>250</v>
      </c>
      <c r="X20" s="1">
        <v>0</v>
      </c>
      <c r="Y20" s="1">
        <v>0</v>
      </c>
      <c r="Z20" s="1">
        <v>0</v>
      </c>
      <c r="AC20" s="1" t="s">
        <v>16</v>
      </c>
      <c r="AD20" s="1">
        <v>250</v>
      </c>
      <c r="AE20" s="1">
        <v>0</v>
      </c>
      <c r="AF20" s="1">
        <v>0</v>
      </c>
      <c r="AG20" s="1">
        <v>0</v>
      </c>
      <c r="AJ20" s="1" t="s">
        <v>16</v>
      </c>
      <c r="AK20" s="1">
        <v>250</v>
      </c>
      <c r="AL20" s="1">
        <v>0</v>
      </c>
      <c r="AM20" s="1">
        <v>0</v>
      </c>
      <c r="AN20" s="1">
        <v>0</v>
      </c>
      <c r="AQ20" s="1" t="s">
        <v>16</v>
      </c>
      <c r="AR20" s="1">
        <v>250</v>
      </c>
      <c r="AS20" s="1">
        <v>0</v>
      </c>
      <c r="AT20" s="1">
        <v>0</v>
      </c>
      <c r="AU20" s="1">
        <v>0</v>
      </c>
      <c r="AX20" s="1" t="s">
        <v>16</v>
      </c>
      <c r="AY20" s="1">
        <v>250</v>
      </c>
      <c r="AZ20" s="1">
        <v>0</v>
      </c>
      <c r="BA20" s="1">
        <v>0</v>
      </c>
      <c r="BB20" s="1">
        <v>0</v>
      </c>
      <c r="BE20" s="1" t="s">
        <v>16</v>
      </c>
      <c r="BF20" s="1">
        <v>250</v>
      </c>
      <c r="BG20" s="1">
        <v>0</v>
      </c>
      <c r="BH20" s="1">
        <v>0</v>
      </c>
      <c r="BI20" s="1">
        <v>0</v>
      </c>
    </row>
    <row r="21" spans="1:63" ht="15.75" customHeight="1" x14ac:dyDescent="0.15">
      <c r="A21" s="1" t="s">
        <v>17</v>
      </c>
      <c r="B21" s="1">
        <v>3</v>
      </c>
      <c r="C21" s="1">
        <v>0</v>
      </c>
      <c r="D21" s="1">
        <v>0</v>
      </c>
      <c r="E21" s="1">
        <v>0</v>
      </c>
      <c r="H21" s="1" t="s">
        <v>17</v>
      </c>
      <c r="I21" s="1">
        <v>3</v>
      </c>
      <c r="J21" s="1">
        <v>0</v>
      </c>
      <c r="K21" s="1">
        <v>0</v>
      </c>
      <c r="L21" s="1">
        <v>0</v>
      </c>
      <c r="O21" s="1" t="s">
        <v>17</v>
      </c>
      <c r="P21" s="1">
        <v>3</v>
      </c>
      <c r="Q21" s="1">
        <v>0</v>
      </c>
      <c r="R21" s="1">
        <v>0</v>
      </c>
      <c r="S21" s="1">
        <v>0</v>
      </c>
      <c r="V21" s="1" t="s">
        <v>17</v>
      </c>
      <c r="W21" s="1">
        <v>3</v>
      </c>
      <c r="X21" s="1">
        <v>0</v>
      </c>
      <c r="Y21" s="1">
        <v>0</v>
      </c>
      <c r="Z21" s="1">
        <v>0</v>
      </c>
      <c r="AC21" s="1" t="s">
        <v>17</v>
      </c>
      <c r="AD21" s="1">
        <v>3</v>
      </c>
      <c r="AE21" s="1">
        <v>0</v>
      </c>
      <c r="AF21" s="1">
        <v>0</v>
      </c>
      <c r="AG21" s="1">
        <v>0</v>
      </c>
      <c r="AJ21" s="1" t="s">
        <v>17</v>
      </c>
      <c r="AK21" s="1">
        <v>3</v>
      </c>
      <c r="AL21" s="1">
        <v>0</v>
      </c>
      <c r="AM21" s="1">
        <v>0</v>
      </c>
      <c r="AN21" s="1">
        <v>0</v>
      </c>
      <c r="AQ21" s="1" t="s">
        <v>17</v>
      </c>
      <c r="AR21" s="1">
        <v>3</v>
      </c>
      <c r="AS21" s="1">
        <v>0</v>
      </c>
      <c r="AT21" s="1">
        <v>0</v>
      </c>
      <c r="AU21" s="1">
        <v>0</v>
      </c>
      <c r="AX21" s="1" t="s">
        <v>17</v>
      </c>
      <c r="AY21" s="1">
        <v>3</v>
      </c>
      <c r="AZ21" s="1">
        <v>0</v>
      </c>
      <c r="BA21" s="1">
        <v>0</v>
      </c>
      <c r="BB21" s="1">
        <v>0</v>
      </c>
      <c r="BE21" s="1" t="s">
        <v>17</v>
      </c>
      <c r="BF21" s="1">
        <v>3</v>
      </c>
      <c r="BG21" s="1">
        <v>0</v>
      </c>
      <c r="BH21" s="1">
        <v>0</v>
      </c>
      <c r="BI21" s="1">
        <v>0</v>
      </c>
    </row>
    <row r="22" spans="1:63" ht="15.75" customHeight="1" x14ac:dyDescent="0.15">
      <c r="A22" s="1" t="s">
        <v>18</v>
      </c>
      <c r="B22" s="1">
        <v>5</v>
      </c>
      <c r="C22" s="1">
        <v>2</v>
      </c>
      <c r="D22" s="1">
        <v>0</v>
      </c>
      <c r="E22" s="1">
        <v>0</v>
      </c>
      <c r="H22" s="1" t="s">
        <v>18</v>
      </c>
      <c r="I22" s="1">
        <v>5</v>
      </c>
      <c r="J22" s="1">
        <v>0</v>
      </c>
      <c r="K22" s="1">
        <v>0</v>
      </c>
      <c r="L22" s="1">
        <v>0</v>
      </c>
      <c r="O22" s="1" t="s">
        <v>18</v>
      </c>
      <c r="P22" s="1">
        <v>5</v>
      </c>
      <c r="Q22" s="1">
        <v>2</v>
      </c>
      <c r="R22" s="1">
        <v>0</v>
      </c>
      <c r="S22" s="1">
        <v>0</v>
      </c>
      <c r="V22" s="1" t="s">
        <v>18</v>
      </c>
      <c r="W22" s="1">
        <v>5</v>
      </c>
      <c r="X22" s="1">
        <v>0</v>
      </c>
      <c r="Y22" s="1">
        <v>0</v>
      </c>
      <c r="Z22" s="1">
        <v>0</v>
      </c>
      <c r="AC22" s="1" t="s">
        <v>18</v>
      </c>
      <c r="AD22" s="1">
        <v>5</v>
      </c>
      <c r="AE22" s="1">
        <v>0</v>
      </c>
      <c r="AF22" s="1">
        <v>0</v>
      </c>
      <c r="AG22" s="1">
        <v>0</v>
      </c>
      <c r="AJ22" s="1" t="s">
        <v>18</v>
      </c>
      <c r="AK22" s="1">
        <v>5</v>
      </c>
      <c r="AL22" s="1">
        <v>0</v>
      </c>
      <c r="AM22" s="1">
        <v>0</v>
      </c>
      <c r="AN22" s="1">
        <v>0</v>
      </c>
      <c r="AQ22" s="1" t="s">
        <v>18</v>
      </c>
      <c r="AR22" s="1">
        <v>5</v>
      </c>
      <c r="AS22" s="1">
        <v>0</v>
      </c>
      <c r="AT22" s="1">
        <v>0</v>
      </c>
      <c r="AU22" s="1">
        <v>0</v>
      </c>
      <c r="AX22" s="1" t="s">
        <v>18</v>
      </c>
      <c r="AY22" s="1">
        <v>5</v>
      </c>
      <c r="AZ22" s="1">
        <v>0</v>
      </c>
      <c r="BA22" s="1">
        <v>0</v>
      </c>
      <c r="BB22" s="1">
        <v>0</v>
      </c>
      <c r="BE22" s="1" t="s">
        <v>18</v>
      </c>
      <c r="BF22" s="1">
        <v>5</v>
      </c>
      <c r="BG22" s="1">
        <v>0</v>
      </c>
      <c r="BH22" s="1">
        <v>0</v>
      </c>
      <c r="BI22" s="1">
        <v>0</v>
      </c>
    </row>
    <row r="23" spans="1:63" ht="15.75" customHeight="1" x14ac:dyDescent="0.15">
      <c r="A23" s="1" t="s">
        <v>19</v>
      </c>
      <c r="B23" s="1">
        <v>0</v>
      </c>
      <c r="C23" s="1">
        <v>0</v>
      </c>
      <c r="D23" s="1">
        <v>0</v>
      </c>
      <c r="E23" s="1">
        <v>0</v>
      </c>
      <c r="H23" s="1" t="s">
        <v>19</v>
      </c>
      <c r="I23" s="1">
        <v>0</v>
      </c>
      <c r="J23" s="1">
        <v>0</v>
      </c>
      <c r="K23" s="1">
        <v>0</v>
      </c>
      <c r="L23" s="1">
        <v>0</v>
      </c>
      <c r="O23" s="1" t="s">
        <v>19</v>
      </c>
      <c r="P23" s="1">
        <v>0</v>
      </c>
      <c r="Q23" s="1">
        <v>0</v>
      </c>
      <c r="R23" s="1">
        <v>0</v>
      </c>
      <c r="S23" s="1">
        <v>0</v>
      </c>
      <c r="V23" s="1" t="s">
        <v>19</v>
      </c>
      <c r="W23" s="1">
        <v>0</v>
      </c>
      <c r="X23" s="1">
        <v>0</v>
      </c>
      <c r="Y23" s="1">
        <v>0</v>
      </c>
      <c r="Z23" s="1">
        <v>0</v>
      </c>
      <c r="AC23" s="1" t="s">
        <v>19</v>
      </c>
      <c r="AD23" s="1">
        <v>0</v>
      </c>
      <c r="AE23" s="1">
        <v>0</v>
      </c>
      <c r="AF23" s="1">
        <v>0</v>
      </c>
      <c r="AG23" s="1">
        <v>0</v>
      </c>
      <c r="AJ23" s="1" t="s">
        <v>19</v>
      </c>
      <c r="AK23" s="1">
        <v>0</v>
      </c>
      <c r="AL23" s="1">
        <v>0</v>
      </c>
      <c r="AM23" s="1">
        <v>0</v>
      </c>
      <c r="AN23" s="1">
        <v>0</v>
      </c>
      <c r="AQ23" s="1" t="s">
        <v>19</v>
      </c>
      <c r="AR23" s="1">
        <v>0</v>
      </c>
      <c r="AS23" s="1">
        <v>0</v>
      </c>
      <c r="AT23" s="1">
        <v>0</v>
      </c>
      <c r="AU23" s="1">
        <v>0</v>
      </c>
      <c r="AX23" s="1" t="s">
        <v>19</v>
      </c>
      <c r="AY23" s="1">
        <v>0</v>
      </c>
      <c r="AZ23" s="1">
        <v>0</v>
      </c>
      <c r="BA23" s="1">
        <v>0</v>
      </c>
      <c r="BB23" s="1">
        <v>0</v>
      </c>
      <c r="BE23" s="1" t="s">
        <v>19</v>
      </c>
      <c r="BF23" s="1">
        <v>0</v>
      </c>
      <c r="BG23" s="1">
        <v>0</v>
      </c>
      <c r="BH23" s="1">
        <v>0</v>
      </c>
      <c r="BI23" s="1">
        <v>0</v>
      </c>
    </row>
    <row r="24" spans="1:63" ht="15.75" customHeight="1" x14ac:dyDescent="0.15">
      <c r="A24" s="1" t="s">
        <v>10</v>
      </c>
      <c r="B24" s="1">
        <v>300</v>
      </c>
      <c r="C24" s="1">
        <f>SUM(C18:C23)</f>
        <v>156</v>
      </c>
      <c r="D24" s="1">
        <f>SUM(D17:D23)</f>
        <v>146</v>
      </c>
      <c r="E24" s="1">
        <f>SUM(E18:E23)</f>
        <v>114</v>
      </c>
      <c r="H24" s="1" t="s">
        <v>10</v>
      </c>
      <c r="I24" s="1">
        <v>300</v>
      </c>
      <c r="J24" s="1">
        <f t="shared" ref="J24:L24" si="0">SUM(J17:J23)</f>
        <v>32</v>
      </c>
      <c r="K24" s="1">
        <f t="shared" si="0"/>
        <v>31</v>
      </c>
      <c r="L24" s="1">
        <f t="shared" si="0"/>
        <v>21</v>
      </c>
      <c r="O24" s="1" t="s">
        <v>10</v>
      </c>
      <c r="P24" s="1">
        <v>300</v>
      </c>
      <c r="Q24" s="1">
        <f>SUM(Q18:Q23)</f>
        <v>152</v>
      </c>
      <c r="R24" s="1">
        <f>SUM(R17:R23)</f>
        <v>139</v>
      </c>
      <c r="S24" s="1">
        <f>SUM(S18:S23)</f>
        <v>109</v>
      </c>
      <c r="V24" s="1" t="s">
        <v>10</v>
      </c>
      <c r="W24" s="1">
        <v>300</v>
      </c>
      <c r="X24" s="1">
        <v>2</v>
      </c>
      <c r="Y24" s="1">
        <v>1</v>
      </c>
      <c r="Z24" s="1">
        <v>1</v>
      </c>
      <c r="AC24" s="1" t="s">
        <v>10</v>
      </c>
      <c r="AD24" s="1">
        <v>300</v>
      </c>
      <c r="AE24" s="1">
        <v>6</v>
      </c>
      <c r="AF24" s="1">
        <v>1</v>
      </c>
      <c r="AG24" s="1">
        <v>1</v>
      </c>
      <c r="AJ24" s="1" t="s">
        <v>10</v>
      </c>
      <c r="AK24" s="1">
        <v>300</v>
      </c>
      <c r="AL24" s="1">
        <v>7</v>
      </c>
      <c r="AM24" s="1">
        <v>2</v>
      </c>
      <c r="AN24" s="1">
        <v>2</v>
      </c>
      <c r="AQ24" s="1" t="s">
        <v>10</v>
      </c>
      <c r="AR24" s="1">
        <v>300</v>
      </c>
      <c r="AS24" s="1">
        <v>7</v>
      </c>
      <c r="AT24" s="1">
        <v>2</v>
      </c>
      <c r="AU24" s="1">
        <v>2</v>
      </c>
      <c r="AX24" s="1" t="s">
        <v>10</v>
      </c>
      <c r="AY24" s="1">
        <v>300</v>
      </c>
      <c r="AZ24" s="1">
        <v>4</v>
      </c>
      <c r="BA24" s="1">
        <v>0</v>
      </c>
      <c r="BB24" s="1">
        <v>0</v>
      </c>
      <c r="BE24" s="1" t="s">
        <v>10</v>
      </c>
      <c r="BF24" s="1">
        <v>300</v>
      </c>
      <c r="BG24" s="1">
        <v>3</v>
      </c>
      <c r="BH24" s="1">
        <v>0</v>
      </c>
      <c r="BI24" s="1">
        <v>0</v>
      </c>
    </row>
    <row r="26" spans="1:63" ht="15.75" customHeight="1" x14ac:dyDescent="0.15">
      <c r="A26" s="1" t="s">
        <v>10</v>
      </c>
      <c r="B26" s="1" t="s">
        <v>14</v>
      </c>
      <c r="C26" s="1" t="s">
        <v>15</v>
      </c>
      <c r="D26" s="1" t="s">
        <v>16</v>
      </c>
      <c r="E26" s="1" t="s">
        <v>17</v>
      </c>
      <c r="F26" s="1" t="s">
        <v>18</v>
      </c>
      <c r="G26" s="1" t="s">
        <v>19</v>
      </c>
      <c r="H26" s="1" t="s">
        <v>10</v>
      </c>
      <c r="I26" s="1" t="s">
        <v>14</v>
      </c>
      <c r="J26" s="1" t="s">
        <v>15</v>
      </c>
      <c r="K26" s="1" t="s">
        <v>16</v>
      </c>
      <c r="L26" s="1" t="s">
        <v>17</v>
      </c>
      <c r="M26" s="1" t="s">
        <v>18</v>
      </c>
      <c r="N26" s="1" t="s">
        <v>19</v>
      </c>
      <c r="O26" s="1" t="s">
        <v>10</v>
      </c>
      <c r="P26" s="1" t="s">
        <v>14</v>
      </c>
      <c r="Q26" s="1" t="s">
        <v>15</v>
      </c>
      <c r="R26" s="1" t="s">
        <v>16</v>
      </c>
      <c r="S26" s="1" t="s">
        <v>17</v>
      </c>
      <c r="T26" s="1" t="s">
        <v>18</v>
      </c>
      <c r="U26" s="1" t="s">
        <v>19</v>
      </c>
      <c r="V26" s="1" t="s">
        <v>10</v>
      </c>
      <c r="W26" s="1" t="s">
        <v>14</v>
      </c>
      <c r="X26" s="1" t="s">
        <v>15</v>
      </c>
      <c r="Y26" s="1" t="s">
        <v>16</v>
      </c>
      <c r="Z26" s="1" t="s">
        <v>17</v>
      </c>
      <c r="AA26" s="1" t="s">
        <v>18</v>
      </c>
      <c r="AB26" s="1" t="s">
        <v>19</v>
      </c>
      <c r="AC26" s="1" t="s">
        <v>10</v>
      </c>
      <c r="AD26" s="1" t="s">
        <v>14</v>
      </c>
      <c r="AE26" s="1" t="s">
        <v>15</v>
      </c>
      <c r="AF26" s="1" t="s">
        <v>16</v>
      </c>
      <c r="AG26" s="1" t="s">
        <v>17</v>
      </c>
      <c r="AH26" s="1" t="s">
        <v>18</v>
      </c>
      <c r="AI26" s="1" t="s">
        <v>19</v>
      </c>
      <c r="AJ26" s="1" t="s">
        <v>10</v>
      </c>
      <c r="AK26" s="1" t="s">
        <v>14</v>
      </c>
      <c r="AL26" s="1" t="s">
        <v>15</v>
      </c>
      <c r="AM26" s="1" t="s">
        <v>16</v>
      </c>
      <c r="AN26" s="1" t="s">
        <v>17</v>
      </c>
      <c r="AO26" s="1" t="s">
        <v>18</v>
      </c>
      <c r="AP26" s="1" t="s">
        <v>19</v>
      </c>
      <c r="AQ26" s="1" t="s">
        <v>10</v>
      </c>
      <c r="AR26" s="1" t="s">
        <v>14</v>
      </c>
      <c r="AS26" s="1" t="s">
        <v>15</v>
      </c>
      <c r="AT26" s="1" t="s">
        <v>16</v>
      </c>
      <c r="AU26" s="1" t="s">
        <v>17</v>
      </c>
      <c r="AV26" s="1" t="s">
        <v>18</v>
      </c>
      <c r="AW26" s="1" t="s">
        <v>19</v>
      </c>
      <c r="AX26" s="1" t="s">
        <v>10</v>
      </c>
      <c r="AY26" s="1" t="s">
        <v>14</v>
      </c>
      <c r="AZ26" s="1" t="s">
        <v>15</v>
      </c>
      <c r="BA26" s="1" t="s">
        <v>16</v>
      </c>
      <c r="BB26" s="1" t="s">
        <v>17</v>
      </c>
      <c r="BC26" s="1" t="s">
        <v>18</v>
      </c>
      <c r="BD26" s="1" t="s">
        <v>19</v>
      </c>
      <c r="BE26" s="1" t="s">
        <v>10</v>
      </c>
      <c r="BF26" s="1" t="s">
        <v>14</v>
      </c>
      <c r="BG26" s="1" t="s">
        <v>15</v>
      </c>
      <c r="BH26" s="1" t="s">
        <v>16</v>
      </c>
      <c r="BI26" s="1" t="s">
        <v>17</v>
      </c>
      <c r="BJ26" s="1" t="s">
        <v>18</v>
      </c>
      <c r="BK26" s="1" t="s">
        <v>19</v>
      </c>
    </row>
    <row r="27" spans="1:63" ht="15.75" customHeight="1" x14ac:dyDescent="0.15">
      <c r="A27" s="1">
        <v>114</v>
      </c>
      <c r="B27" s="1">
        <v>6</v>
      </c>
      <c r="C27" s="1">
        <v>33</v>
      </c>
      <c r="D27" s="1">
        <v>75</v>
      </c>
      <c r="E27" s="1">
        <v>0</v>
      </c>
      <c r="F27" s="1">
        <v>0</v>
      </c>
      <c r="G27" s="1">
        <v>0</v>
      </c>
      <c r="H27" s="1">
        <v>21</v>
      </c>
      <c r="I27" s="1">
        <v>0</v>
      </c>
      <c r="J27" s="1">
        <v>1</v>
      </c>
      <c r="K27" s="1">
        <v>20</v>
      </c>
      <c r="L27" s="1">
        <v>0</v>
      </c>
      <c r="M27" s="1">
        <v>0</v>
      </c>
      <c r="N27" s="1">
        <v>0</v>
      </c>
      <c r="O27" s="1">
        <v>109</v>
      </c>
      <c r="P27" s="1">
        <v>6</v>
      </c>
      <c r="Q27" s="1">
        <v>33</v>
      </c>
      <c r="R27" s="1">
        <v>70</v>
      </c>
      <c r="S27" s="1">
        <v>0</v>
      </c>
      <c r="T27" s="1">
        <v>0</v>
      </c>
      <c r="U27" s="1">
        <v>0</v>
      </c>
      <c r="V27" s="1">
        <v>1</v>
      </c>
      <c r="W27" s="1">
        <v>0</v>
      </c>
      <c r="X27" s="1">
        <v>1</v>
      </c>
      <c r="Y27" s="1">
        <v>0</v>
      </c>
      <c r="Z27" s="1">
        <v>0</v>
      </c>
      <c r="AA27" s="1">
        <v>0</v>
      </c>
      <c r="AB27" s="1">
        <v>0</v>
      </c>
      <c r="AC27" s="1">
        <v>1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  <c r="AI27" s="1">
        <v>0</v>
      </c>
      <c r="AJ27" s="1">
        <v>2</v>
      </c>
      <c r="AK27" s="1">
        <v>1</v>
      </c>
      <c r="AL27" s="1">
        <v>1</v>
      </c>
      <c r="AM27" s="1">
        <v>0</v>
      </c>
      <c r="AN27" s="1">
        <v>0</v>
      </c>
      <c r="AO27" s="1">
        <v>0</v>
      </c>
      <c r="AP27" s="1">
        <v>0</v>
      </c>
      <c r="AQ27" s="1">
        <v>2</v>
      </c>
      <c r="AR27" s="1">
        <v>1</v>
      </c>
      <c r="AS27" s="1">
        <v>1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</row>
    <row r="30" spans="1:63" ht="15.75" customHeight="1" x14ac:dyDescent="0.15">
      <c r="A30" s="2" t="s">
        <v>21</v>
      </c>
    </row>
    <row r="31" spans="1:63" ht="15.75" customHeight="1" x14ac:dyDescent="0.15">
      <c r="A31" s="1" t="s">
        <v>9</v>
      </c>
      <c r="B31" s="1" t="s">
        <v>10</v>
      </c>
      <c r="C31" s="1" t="s">
        <v>11</v>
      </c>
      <c r="D31" s="1" t="s">
        <v>12</v>
      </c>
      <c r="E31" s="1" t="s">
        <v>13</v>
      </c>
      <c r="H31" s="1" t="s">
        <v>9</v>
      </c>
      <c r="I31" s="1" t="s">
        <v>10</v>
      </c>
      <c r="J31" s="1" t="s">
        <v>11</v>
      </c>
      <c r="K31" s="1" t="s">
        <v>12</v>
      </c>
      <c r="L31" s="1" t="s">
        <v>13</v>
      </c>
      <c r="O31" s="1" t="s">
        <v>9</v>
      </c>
      <c r="P31" s="1" t="s">
        <v>10</v>
      </c>
      <c r="Q31" s="1" t="s">
        <v>11</v>
      </c>
      <c r="R31" s="1" t="s">
        <v>12</v>
      </c>
      <c r="S31" s="1" t="s">
        <v>13</v>
      </c>
      <c r="V31" s="1" t="s">
        <v>9</v>
      </c>
      <c r="W31" s="1" t="s">
        <v>10</v>
      </c>
      <c r="X31" s="1" t="s">
        <v>11</v>
      </c>
      <c r="Y31" s="1" t="s">
        <v>12</v>
      </c>
      <c r="Z31" s="1" t="s">
        <v>13</v>
      </c>
      <c r="AC31" s="1" t="s">
        <v>9</v>
      </c>
      <c r="AD31" s="1" t="s">
        <v>10</v>
      </c>
      <c r="AE31" s="1" t="s">
        <v>11</v>
      </c>
      <c r="AF31" s="1" t="s">
        <v>12</v>
      </c>
      <c r="AG31" s="1" t="s">
        <v>13</v>
      </c>
      <c r="AJ31" s="1" t="s">
        <v>9</v>
      </c>
      <c r="AK31" s="1" t="s">
        <v>10</v>
      </c>
      <c r="AL31" s="1" t="s">
        <v>11</v>
      </c>
      <c r="AM31" s="1" t="s">
        <v>12</v>
      </c>
      <c r="AN31" s="1" t="s">
        <v>13</v>
      </c>
      <c r="AQ31" s="1" t="s">
        <v>9</v>
      </c>
      <c r="AR31" s="1" t="s">
        <v>10</v>
      </c>
      <c r="AS31" s="1" t="s">
        <v>11</v>
      </c>
      <c r="AT31" s="1" t="s">
        <v>12</v>
      </c>
      <c r="AU31" s="1" t="s">
        <v>13</v>
      </c>
      <c r="AX31" s="1" t="s">
        <v>9</v>
      </c>
      <c r="AY31" s="1" t="s">
        <v>10</v>
      </c>
      <c r="AZ31" s="1" t="s">
        <v>11</v>
      </c>
      <c r="BA31" s="1" t="s">
        <v>12</v>
      </c>
      <c r="BB31" s="1" t="s">
        <v>13</v>
      </c>
      <c r="BE31" s="1" t="s">
        <v>9</v>
      </c>
      <c r="BF31" s="1" t="s">
        <v>10</v>
      </c>
      <c r="BG31" s="1" t="s">
        <v>11</v>
      </c>
      <c r="BH31" s="1" t="s">
        <v>12</v>
      </c>
      <c r="BI31" s="1" t="s">
        <v>13</v>
      </c>
    </row>
    <row r="32" spans="1:63" ht="15.75" customHeight="1" x14ac:dyDescent="0.15">
      <c r="A32" s="1" t="s">
        <v>14</v>
      </c>
      <c r="B32" s="1">
        <v>9</v>
      </c>
      <c r="C32" s="1">
        <v>9</v>
      </c>
      <c r="D32" s="1">
        <v>9</v>
      </c>
      <c r="E32" s="1">
        <v>9</v>
      </c>
      <c r="H32" s="1" t="s">
        <v>14</v>
      </c>
      <c r="I32" s="1">
        <v>9</v>
      </c>
      <c r="J32" s="1">
        <v>1</v>
      </c>
      <c r="K32" s="1">
        <v>1</v>
      </c>
      <c r="L32" s="1">
        <v>0</v>
      </c>
      <c r="O32" s="1" t="s">
        <v>14</v>
      </c>
      <c r="P32" s="1">
        <v>9</v>
      </c>
      <c r="Q32" s="1">
        <v>6</v>
      </c>
      <c r="R32" s="1">
        <v>8</v>
      </c>
      <c r="S32" s="1">
        <v>5</v>
      </c>
      <c r="V32" s="1" t="s">
        <v>14</v>
      </c>
      <c r="W32" s="1">
        <v>9</v>
      </c>
      <c r="X32" s="1">
        <v>0</v>
      </c>
      <c r="Y32" s="1">
        <v>5</v>
      </c>
      <c r="Z32" s="1">
        <v>0</v>
      </c>
      <c r="AC32" s="1" t="s">
        <v>14</v>
      </c>
      <c r="AD32" s="1">
        <v>9</v>
      </c>
      <c r="AE32" s="1">
        <v>0</v>
      </c>
      <c r="AF32" s="1">
        <v>5</v>
      </c>
      <c r="AG32" s="1">
        <v>0</v>
      </c>
      <c r="AJ32" s="1" t="s">
        <v>14</v>
      </c>
      <c r="AK32" s="1">
        <v>9</v>
      </c>
      <c r="AL32" s="1">
        <v>0</v>
      </c>
      <c r="AM32" s="1">
        <v>3</v>
      </c>
      <c r="AN32" s="1">
        <v>0</v>
      </c>
      <c r="AQ32" s="1" t="s">
        <v>14</v>
      </c>
      <c r="AR32" s="1">
        <v>9</v>
      </c>
      <c r="AS32" s="1">
        <v>0</v>
      </c>
      <c r="AT32" s="1">
        <v>3</v>
      </c>
      <c r="AU32" s="1">
        <v>0</v>
      </c>
      <c r="AX32" s="1" t="s">
        <v>14</v>
      </c>
      <c r="AY32" s="1">
        <v>9</v>
      </c>
      <c r="AZ32" s="1">
        <v>0</v>
      </c>
      <c r="BA32" s="1">
        <v>0</v>
      </c>
      <c r="BB32" s="1">
        <v>0</v>
      </c>
      <c r="BE32" s="1" t="s">
        <v>14</v>
      </c>
      <c r="BF32" s="1">
        <v>9</v>
      </c>
      <c r="BG32" s="1">
        <v>0</v>
      </c>
      <c r="BH32" s="1">
        <v>0</v>
      </c>
      <c r="BI32" s="1">
        <v>0</v>
      </c>
    </row>
    <row r="33" spans="1:63" ht="15.75" customHeight="1" x14ac:dyDescent="0.15">
      <c r="A33" s="1" t="s">
        <v>15</v>
      </c>
      <c r="B33" s="1">
        <v>0</v>
      </c>
      <c r="C33" s="1">
        <v>0</v>
      </c>
      <c r="D33" s="1">
        <v>0</v>
      </c>
      <c r="E33" s="1">
        <v>0</v>
      </c>
      <c r="H33" s="1" t="s">
        <v>15</v>
      </c>
      <c r="I33" s="1">
        <v>0</v>
      </c>
      <c r="J33" s="1">
        <v>0</v>
      </c>
      <c r="K33" s="1">
        <v>0</v>
      </c>
      <c r="L33" s="1">
        <v>0</v>
      </c>
      <c r="O33" s="1" t="s">
        <v>15</v>
      </c>
      <c r="P33" s="1">
        <v>0</v>
      </c>
      <c r="Q33" s="1">
        <v>0</v>
      </c>
      <c r="R33" s="1">
        <v>0</v>
      </c>
      <c r="S33" s="1">
        <v>0</v>
      </c>
      <c r="V33" s="1" t="s">
        <v>15</v>
      </c>
      <c r="W33" s="1">
        <v>0</v>
      </c>
      <c r="X33" s="1">
        <v>0</v>
      </c>
      <c r="Y33" s="1">
        <v>0</v>
      </c>
      <c r="Z33" s="1">
        <v>0</v>
      </c>
      <c r="AC33" s="1" t="s">
        <v>15</v>
      </c>
      <c r="AD33" s="1">
        <v>0</v>
      </c>
      <c r="AE33" s="1">
        <v>0</v>
      </c>
      <c r="AF33" s="1">
        <v>0</v>
      </c>
      <c r="AG33" s="1">
        <v>0</v>
      </c>
      <c r="AJ33" s="1" t="s">
        <v>15</v>
      </c>
      <c r="AK33" s="1">
        <v>0</v>
      </c>
      <c r="AL33" s="1">
        <v>0</v>
      </c>
      <c r="AM33" s="1">
        <v>0</v>
      </c>
      <c r="AN33" s="1">
        <v>0</v>
      </c>
      <c r="AQ33" s="1" t="s">
        <v>15</v>
      </c>
      <c r="AR33" s="1">
        <v>0</v>
      </c>
      <c r="AS33" s="1">
        <v>0</v>
      </c>
      <c r="AT33" s="1">
        <v>0</v>
      </c>
      <c r="AU33" s="1">
        <v>0</v>
      </c>
      <c r="AX33" s="1" t="s">
        <v>15</v>
      </c>
      <c r="AY33" s="1">
        <v>0</v>
      </c>
      <c r="AZ33" s="1">
        <v>0</v>
      </c>
      <c r="BA33" s="1">
        <v>0</v>
      </c>
      <c r="BB33" s="1">
        <v>0</v>
      </c>
      <c r="BE33" s="1" t="s">
        <v>15</v>
      </c>
      <c r="BF33" s="1">
        <v>0</v>
      </c>
      <c r="BG33" s="1">
        <v>0</v>
      </c>
      <c r="BH33" s="1">
        <v>0</v>
      </c>
      <c r="BI33" s="1">
        <v>0</v>
      </c>
    </row>
    <row r="34" spans="1:63" ht="15.75" customHeight="1" x14ac:dyDescent="0.15">
      <c r="A34" s="1" t="s">
        <v>16</v>
      </c>
      <c r="B34" s="1">
        <v>0</v>
      </c>
      <c r="C34" s="1">
        <v>0</v>
      </c>
      <c r="D34" s="1">
        <v>0</v>
      </c>
      <c r="E34" s="1">
        <v>0</v>
      </c>
      <c r="H34" s="1" t="s">
        <v>16</v>
      </c>
      <c r="I34" s="1">
        <v>0</v>
      </c>
      <c r="J34" s="1">
        <v>0</v>
      </c>
      <c r="K34" s="1">
        <v>0</v>
      </c>
      <c r="L34" s="1">
        <v>0</v>
      </c>
      <c r="O34" s="1" t="s">
        <v>16</v>
      </c>
      <c r="P34" s="1">
        <v>0</v>
      </c>
      <c r="Q34" s="1">
        <v>0</v>
      </c>
      <c r="R34" s="1">
        <v>0</v>
      </c>
      <c r="S34" s="1">
        <v>0</v>
      </c>
      <c r="V34" s="1" t="s">
        <v>16</v>
      </c>
      <c r="W34" s="1">
        <v>0</v>
      </c>
      <c r="X34" s="1">
        <v>0</v>
      </c>
      <c r="Y34" s="1">
        <v>0</v>
      </c>
      <c r="Z34" s="1">
        <v>0</v>
      </c>
      <c r="AC34" s="1" t="s">
        <v>16</v>
      </c>
      <c r="AD34" s="1">
        <v>0</v>
      </c>
      <c r="AE34" s="1">
        <v>0</v>
      </c>
      <c r="AF34" s="1">
        <v>0</v>
      </c>
      <c r="AG34" s="1">
        <v>0</v>
      </c>
      <c r="AJ34" s="1" t="s">
        <v>16</v>
      </c>
      <c r="AK34" s="1">
        <v>0</v>
      </c>
      <c r="AL34" s="1">
        <v>0</v>
      </c>
      <c r="AM34" s="1">
        <v>0</v>
      </c>
      <c r="AN34" s="1">
        <v>0</v>
      </c>
      <c r="AQ34" s="1" t="s">
        <v>16</v>
      </c>
      <c r="AR34" s="1">
        <v>0</v>
      </c>
      <c r="AS34" s="1">
        <v>0</v>
      </c>
      <c r="AT34" s="1">
        <v>0</v>
      </c>
      <c r="AU34" s="1">
        <v>0</v>
      </c>
      <c r="AX34" s="1" t="s">
        <v>16</v>
      </c>
      <c r="AY34" s="1">
        <v>0</v>
      </c>
      <c r="AZ34" s="1">
        <v>0</v>
      </c>
      <c r="BA34" s="1">
        <v>0</v>
      </c>
      <c r="BB34" s="1">
        <v>0</v>
      </c>
      <c r="BE34" s="1" t="s">
        <v>16</v>
      </c>
      <c r="BF34" s="1">
        <v>0</v>
      </c>
      <c r="BG34" s="1">
        <v>0</v>
      </c>
      <c r="BH34" s="1">
        <v>0</v>
      </c>
      <c r="BI34" s="1">
        <v>0</v>
      </c>
    </row>
    <row r="35" spans="1:63" ht="15.75" customHeight="1" x14ac:dyDescent="0.15">
      <c r="A35" s="1" t="s">
        <v>17</v>
      </c>
      <c r="B35" s="1">
        <v>0</v>
      </c>
      <c r="C35" s="1">
        <v>0</v>
      </c>
      <c r="D35" s="1">
        <v>0</v>
      </c>
      <c r="E35" s="1">
        <v>0</v>
      </c>
      <c r="H35" s="1" t="s">
        <v>17</v>
      </c>
      <c r="I35" s="1">
        <v>0</v>
      </c>
      <c r="J35" s="1">
        <v>0</v>
      </c>
      <c r="K35" s="1">
        <v>0</v>
      </c>
      <c r="L35" s="1">
        <v>0</v>
      </c>
      <c r="O35" s="1" t="s">
        <v>17</v>
      </c>
      <c r="P35" s="1">
        <v>0</v>
      </c>
      <c r="Q35" s="1">
        <v>0</v>
      </c>
      <c r="R35" s="1">
        <v>0</v>
      </c>
      <c r="S35" s="1">
        <v>0</v>
      </c>
      <c r="V35" s="1" t="s">
        <v>17</v>
      </c>
      <c r="W35" s="1">
        <v>0</v>
      </c>
      <c r="X35" s="1">
        <v>0</v>
      </c>
      <c r="Y35" s="1">
        <v>0</v>
      </c>
      <c r="Z35" s="1">
        <v>0</v>
      </c>
      <c r="AC35" s="1" t="s">
        <v>17</v>
      </c>
      <c r="AD35" s="1">
        <v>0</v>
      </c>
      <c r="AE35" s="1">
        <v>0</v>
      </c>
      <c r="AF35" s="1">
        <v>0</v>
      </c>
      <c r="AG35" s="1">
        <v>0</v>
      </c>
      <c r="AJ35" s="1" t="s">
        <v>17</v>
      </c>
      <c r="AK35" s="1">
        <v>0</v>
      </c>
      <c r="AL35" s="1">
        <v>0</v>
      </c>
      <c r="AM35" s="1">
        <v>0</v>
      </c>
      <c r="AN35" s="1">
        <v>0</v>
      </c>
      <c r="AQ35" s="1" t="s">
        <v>17</v>
      </c>
      <c r="AR35" s="1">
        <v>0</v>
      </c>
      <c r="AS35" s="1">
        <v>0</v>
      </c>
      <c r="AT35" s="1">
        <v>0</v>
      </c>
      <c r="AU35" s="1">
        <v>0</v>
      </c>
      <c r="AX35" s="1" t="s">
        <v>17</v>
      </c>
      <c r="AY35" s="1">
        <v>0</v>
      </c>
      <c r="AZ35" s="1">
        <v>0</v>
      </c>
      <c r="BA35" s="1">
        <v>0</v>
      </c>
      <c r="BB35" s="1">
        <v>0</v>
      </c>
      <c r="BE35" s="1" t="s">
        <v>17</v>
      </c>
      <c r="BF35" s="1">
        <v>0</v>
      </c>
      <c r="BG35" s="1">
        <v>0</v>
      </c>
      <c r="BH35" s="1">
        <v>0</v>
      </c>
      <c r="BI35" s="1">
        <v>0</v>
      </c>
    </row>
    <row r="36" spans="1:63" ht="15.75" customHeight="1" x14ac:dyDescent="0.15">
      <c r="A36" s="1" t="s">
        <v>18</v>
      </c>
      <c r="B36" s="1">
        <v>0</v>
      </c>
      <c r="C36" s="1">
        <v>0</v>
      </c>
      <c r="D36" s="1">
        <v>0</v>
      </c>
      <c r="E36" s="1">
        <v>0</v>
      </c>
      <c r="H36" s="1" t="s">
        <v>18</v>
      </c>
      <c r="I36" s="1">
        <v>0</v>
      </c>
      <c r="J36" s="1">
        <v>0</v>
      </c>
      <c r="K36" s="1">
        <v>0</v>
      </c>
      <c r="L36" s="1">
        <v>0</v>
      </c>
      <c r="O36" s="1" t="s">
        <v>18</v>
      </c>
      <c r="P36" s="1">
        <v>0</v>
      </c>
      <c r="Q36" s="1">
        <v>0</v>
      </c>
      <c r="R36" s="1">
        <v>0</v>
      </c>
      <c r="S36" s="1">
        <v>0</v>
      </c>
      <c r="V36" s="1" t="s">
        <v>18</v>
      </c>
      <c r="W36" s="1">
        <v>0</v>
      </c>
      <c r="X36" s="1">
        <v>0</v>
      </c>
      <c r="Y36" s="1">
        <v>0</v>
      </c>
      <c r="Z36" s="1">
        <v>0</v>
      </c>
      <c r="AC36" s="1" t="s">
        <v>18</v>
      </c>
      <c r="AD36" s="1">
        <v>0</v>
      </c>
      <c r="AE36" s="1">
        <v>0</v>
      </c>
      <c r="AF36" s="1">
        <v>0</v>
      </c>
      <c r="AG36" s="1">
        <v>0</v>
      </c>
      <c r="AJ36" s="1" t="s">
        <v>18</v>
      </c>
      <c r="AK36" s="1">
        <v>0</v>
      </c>
      <c r="AL36" s="1">
        <v>0</v>
      </c>
      <c r="AM36" s="1">
        <v>0</v>
      </c>
      <c r="AN36" s="1">
        <v>0</v>
      </c>
      <c r="AQ36" s="1" t="s">
        <v>18</v>
      </c>
      <c r="AR36" s="1">
        <v>0</v>
      </c>
      <c r="AS36" s="1">
        <v>0</v>
      </c>
      <c r="AT36" s="1">
        <v>0</v>
      </c>
      <c r="AU36" s="1">
        <v>0</v>
      </c>
      <c r="AX36" s="1" t="s">
        <v>18</v>
      </c>
      <c r="AY36" s="1">
        <v>0</v>
      </c>
      <c r="AZ36" s="1">
        <v>0</v>
      </c>
      <c r="BA36" s="1">
        <v>0</v>
      </c>
      <c r="BB36" s="1">
        <v>0</v>
      </c>
      <c r="BE36" s="1" t="s">
        <v>18</v>
      </c>
      <c r="BF36" s="1">
        <v>0</v>
      </c>
      <c r="BG36" s="1">
        <v>0</v>
      </c>
      <c r="BH36" s="1">
        <v>0</v>
      </c>
      <c r="BI36" s="1">
        <v>0</v>
      </c>
    </row>
    <row r="37" spans="1:63" ht="15.75" customHeight="1" x14ac:dyDescent="0.15">
      <c r="A37" s="1" t="s">
        <v>19</v>
      </c>
      <c r="B37" s="1">
        <v>0</v>
      </c>
      <c r="C37" s="1">
        <v>0</v>
      </c>
      <c r="D37" s="1">
        <v>0</v>
      </c>
      <c r="E37" s="1">
        <v>0</v>
      </c>
      <c r="H37" s="1" t="s">
        <v>19</v>
      </c>
      <c r="I37" s="1">
        <v>0</v>
      </c>
      <c r="J37" s="1">
        <v>0</v>
      </c>
      <c r="K37" s="1">
        <v>0</v>
      </c>
      <c r="L37" s="1">
        <v>0</v>
      </c>
      <c r="O37" s="1" t="s">
        <v>19</v>
      </c>
      <c r="P37" s="1">
        <v>0</v>
      </c>
      <c r="Q37" s="1">
        <v>0</v>
      </c>
      <c r="R37" s="1">
        <v>0</v>
      </c>
      <c r="S37" s="1">
        <v>0</v>
      </c>
      <c r="V37" s="1" t="s">
        <v>19</v>
      </c>
      <c r="W37" s="1">
        <v>0</v>
      </c>
      <c r="X37" s="1">
        <v>0</v>
      </c>
      <c r="Y37" s="1">
        <v>0</v>
      </c>
      <c r="Z37" s="1">
        <v>0</v>
      </c>
      <c r="AC37" s="1" t="s">
        <v>19</v>
      </c>
      <c r="AD37" s="1">
        <v>0</v>
      </c>
      <c r="AE37" s="1">
        <v>0</v>
      </c>
      <c r="AF37" s="1">
        <v>0</v>
      </c>
      <c r="AG37" s="1">
        <v>0</v>
      </c>
      <c r="AJ37" s="1" t="s">
        <v>19</v>
      </c>
      <c r="AK37" s="1">
        <v>0</v>
      </c>
      <c r="AL37" s="1">
        <v>0</v>
      </c>
      <c r="AM37" s="1">
        <v>0</v>
      </c>
      <c r="AN37" s="1">
        <v>0</v>
      </c>
      <c r="AQ37" s="1" t="s">
        <v>19</v>
      </c>
      <c r="AR37" s="1">
        <v>0</v>
      </c>
      <c r="AS37" s="1">
        <v>0</v>
      </c>
      <c r="AT37" s="1">
        <v>0</v>
      </c>
      <c r="AU37" s="1">
        <v>0</v>
      </c>
      <c r="AX37" s="1" t="s">
        <v>19</v>
      </c>
      <c r="AY37" s="1">
        <v>0</v>
      </c>
      <c r="AZ37" s="1">
        <v>0</v>
      </c>
      <c r="BA37" s="1">
        <v>0</v>
      </c>
      <c r="BB37" s="1">
        <v>0</v>
      </c>
      <c r="BE37" s="1" t="s">
        <v>19</v>
      </c>
      <c r="BF37" s="1">
        <v>0</v>
      </c>
      <c r="BG37" s="1">
        <v>0</v>
      </c>
      <c r="BH37" s="1">
        <v>0</v>
      </c>
      <c r="BI37" s="1">
        <v>0</v>
      </c>
    </row>
    <row r="38" spans="1:63" ht="15.75" customHeight="1" x14ac:dyDescent="0.15">
      <c r="A38" s="1" t="s">
        <v>10</v>
      </c>
      <c r="B38" s="1">
        <v>9</v>
      </c>
      <c r="C38" s="1">
        <v>9</v>
      </c>
      <c r="D38" s="1">
        <v>9</v>
      </c>
      <c r="E38" s="1">
        <v>9</v>
      </c>
      <c r="H38" s="1" t="s">
        <v>10</v>
      </c>
      <c r="I38" s="1">
        <v>9</v>
      </c>
      <c r="J38" s="1">
        <v>1</v>
      </c>
      <c r="K38" s="1">
        <v>1</v>
      </c>
      <c r="L38" s="1">
        <v>0</v>
      </c>
      <c r="O38" s="1" t="s">
        <v>10</v>
      </c>
      <c r="P38" s="1">
        <v>9</v>
      </c>
      <c r="Q38" s="1">
        <v>6</v>
      </c>
      <c r="R38" s="1">
        <v>8</v>
      </c>
      <c r="S38" s="1">
        <v>5</v>
      </c>
      <c r="V38" s="1" t="s">
        <v>10</v>
      </c>
      <c r="W38" s="1">
        <v>9</v>
      </c>
      <c r="X38" s="1">
        <v>0</v>
      </c>
      <c r="Y38" s="1">
        <v>5</v>
      </c>
      <c r="Z38" s="1">
        <v>0</v>
      </c>
      <c r="AC38" s="1" t="s">
        <v>10</v>
      </c>
      <c r="AD38" s="1">
        <v>9</v>
      </c>
      <c r="AE38" s="1">
        <v>0</v>
      </c>
      <c r="AF38" s="1">
        <v>5</v>
      </c>
      <c r="AG38" s="1">
        <v>0</v>
      </c>
      <c r="AJ38" s="1" t="s">
        <v>10</v>
      </c>
      <c r="AK38" s="1">
        <v>9</v>
      </c>
      <c r="AL38" s="1">
        <v>0</v>
      </c>
      <c r="AM38" s="1">
        <v>3</v>
      </c>
      <c r="AN38" s="1">
        <v>0</v>
      </c>
      <c r="AQ38" s="1" t="s">
        <v>10</v>
      </c>
      <c r="AR38" s="1">
        <v>9</v>
      </c>
      <c r="AS38" s="1">
        <v>0</v>
      </c>
      <c r="AT38" s="1">
        <v>3</v>
      </c>
      <c r="AU38" s="1">
        <v>0</v>
      </c>
      <c r="AX38" s="1" t="s">
        <v>10</v>
      </c>
      <c r="AY38" s="1">
        <v>9</v>
      </c>
      <c r="AZ38" s="1">
        <v>0</v>
      </c>
      <c r="BA38" s="1">
        <v>0</v>
      </c>
      <c r="BB38" s="1">
        <v>0</v>
      </c>
      <c r="BE38" s="1" t="s">
        <v>10</v>
      </c>
      <c r="BF38" s="1">
        <v>9</v>
      </c>
      <c r="BG38" s="1">
        <v>0</v>
      </c>
      <c r="BH38" s="1">
        <v>0</v>
      </c>
      <c r="BI38" s="1">
        <v>0</v>
      </c>
    </row>
    <row r="40" spans="1:63" ht="15.75" customHeight="1" x14ac:dyDescent="0.15">
      <c r="A40" s="1" t="s">
        <v>10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18</v>
      </c>
      <c r="G40" s="1" t="s">
        <v>19</v>
      </c>
      <c r="H40" s="1" t="s">
        <v>10</v>
      </c>
      <c r="I40" s="1" t="s">
        <v>14</v>
      </c>
      <c r="J40" s="1" t="s">
        <v>15</v>
      </c>
      <c r="K40" s="1" t="s">
        <v>16</v>
      </c>
      <c r="L40" s="1" t="s">
        <v>17</v>
      </c>
      <c r="M40" s="1" t="s">
        <v>18</v>
      </c>
      <c r="N40" s="1" t="s">
        <v>19</v>
      </c>
      <c r="O40" s="1" t="s">
        <v>10</v>
      </c>
      <c r="P40" s="1" t="s">
        <v>14</v>
      </c>
      <c r="Q40" s="1" t="s">
        <v>15</v>
      </c>
      <c r="R40" s="1" t="s">
        <v>16</v>
      </c>
      <c r="S40" s="1" t="s">
        <v>17</v>
      </c>
      <c r="T40" s="1" t="s">
        <v>18</v>
      </c>
      <c r="U40" s="1" t="s">
        <v>19</v>
      </c>
      <c r="V40" s="1" t="s">
        <v>10</v>
      </c>
      <c r="W40" s="1" t="s">
        <v>14</v>
      </c>
      <c r="X40" s="1" t="s">
        <v>15</v>
      </c>
      <c r="Y40" s="1" t="s">
        <v>16</v>
      </c>
      <c r="Z40" s="1" t="s">
        <v>17</v>
      </c>
      <c r="AA40" s="1" t="s">
        <v>18</v>
      </c>
      <c r="AB40" s="1" t="s">
        <v>19</v>
      </c>
      <c r="AC40" s="1" t="s">
        <v>10</v>
      </c>
      <c r="AD40" s="1" t="s">
        <v>14</v>
      </c>
      <c r="AE40" s="1" t="s">
        <v>15</v>
      </c>
      <c r="AF40" s="1" t="s">
        <v>16</v>
      </c>
      <c r="AG40" s="1" t="s">
        <v>17</v>
      </c>
      <c r="AH40" s="1" t="s">
        <v>18</v>
      </c>
      <c r="AI40" s="1" t="s">
        <v>19</v>
      </c>
      <c r="AJ40" s="1" t="s">
        <v>10</v>
      </c>
      <c r="AK40" s="1" t="s">
        <v>14</v>
      </c>
      <c r="AL40" s="1" t="s">
        <v>15</v>
      </c>
      <c r="AM40" s="1" t="s">
        <v>16</v>
      </c>
      <c r="AN40" s="1" t="s">
        <v>17</v>
      </c>
      <c r="AO40" s="1" t="s">
        <v>18</v>
      </c>
      <c r="AP40" s="1" t="s">
        <v>19</v>
      </c>
      <c r="AQ40" s="1" t="s">
        <v>10</v>
      </c>
      <c r="AR40" s="1" t="s">
        <v>14</v>
      </c>
      <c r="AS40" s="1" t="s">
        <v>15</v>
      </c>
      <c r="AT40" s="1" t="s">
        <v>16</v>
      </c>
      <c r="AU40" s="1" t="s">
        <v>17</v>
      </c>
      <c r="AV40" s="1" t="s">
        <v>18</v>
      </c>
      <c r="AW40" s="1" t="s">
        <v>19</v>
      </c>
      <c r="AX40" s="1" t="s">
        <v>10</v>
      </c>
      <c r="AY40" s="1" t="s">
        <v>14</v>
      </c>
      <c r="AZ40" s="1" t="s">
        <v>15</v>
      </c>
      <c r="BA40" s="1" t="s">
        <v>16</v>
      </c>
      <c r="BB40" s="1" t="s">
        <v>17</v>
      </c>
      <c r="BC40" s="1" t="s">
        <v>18</v>
      </c>
      <c r="BD40" s="1" t="s">
        <v>19</v>
      </c>
      <c r="BE40" s="1" t="s">
        <v>10</v>
      </c>
      <c r="BF40" s="1" t="s">
        <v>14</v>
      </c>
      <c r="BG40" s="1" t="s">
        <v>15</v>
      </c>
      <c r="BH40" s="1" t="s">
        <v>16</v>
      </c>
      <c r="BI40" s="1" t="s">
        <v>17</v>
      </c>
      <c r="BJ40" s="1" t="s">
        <v>18</v>
      </c>
      <c r="BK40" s="1" t="s">
        <v>19</v>
      </c>
    </row>
    <row r="41" spans="1:63" ht="15.75" customHeight="1" x14ac:dyDescent="0.15">
      <c r="A41" s="1">
        <v>9</v>
      </c>
      <c r="B41" s="1">
        <v>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5</v>
      </c>
      <c r="P41" s="1">
        <v>5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</row>
    <row r="42" spans="1:63" ht="15.75" customHeight="1" x14ac:dyDescent="0.15"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63" ht="15.75" customHeight="1" x14ac:dyDescent="0.15">
      <c r="A43" s="1" t="s">
        <v>22</v>
      </c>
    </row>
    <row r="44" spans="1:63" ht="15.75" customHeight="1" x14ac:dyDescent="0.15">
      <c r="A44" s="1" t="s">
        <v>9</v>
      </c>
      <c r="B44" s="1" t="s">
        <v>10</v>
      </c>
      <c r="C44" s="1" t="s">
        <v>11</v>
      </c>
      <c r="D44" s="1" t="s">
        <v>12</v>
      </c>
      <c r="E44" s="1" t="s">
        <v>13</v>
      </c>
      <c r="H44" s="1" t="s">
        <v>9</v>
      </c>
      <c r="I44" s="1" t="s">
        <v>10</v>
      </c>
      <c r="J44" s="1" t="s">
        <v>11</v>
      </c>
      <c r="K44" s="1" t="s">
        <v>12</v>
      </c>
      <c r="L44" s="1" t="s">
        <v>13</v>
      </c>
      <c r="O44" s="1" t="s">
        <v>9</v>
      </c>
      <c r="P44" s="1" t="s">
        <v>10</v>
      </c>
      <c r="Q44" s="1" t="s">
        <v>11</v>
      </c>
      <c r="R44" s="1" t="s">
        <v>12</v>
      </c>
      <c r="S44" s="1" t="s">
        <v>13</v>
      </c>
      <c r="V44" s="1" t="s">
        <v>9</v>
      </c>
      <c r="W44" s="1" t="s">
        <v>10</v>
      </c>
      <c r="X44" s="1" t="s">
        <v>11</v>
      </c>
      <c r="Y44" s="1" t="s">
        <v>12</v>
      </c>
      <c r="Z44" s="1" t="s">
        <v>13</v>
      </c>
      <c r="AC44" s="1" t="s">
        <v>9</v>
      </c>
      <c r="AD44" s="1" t="s">
        <v>10</v>
      </c>
      <c r="AE44" s="1" t="s">
        <v>11</v>
      </c>
      <c r="AF44" s="1" t="s">
        <v>12</v>
      </c>
      <c r="AG44" s="1" t="s">
        <v>13</v>
      </c>
      <c r="AJ44" s="1" t="s">
        <v>9</v>
      </c>
      <c r="AK44" s="1" t="s">
        <v>10</v>
      </c>
      <c r="AL44" s="1" t="s">
        <v>11</v>
      </c>
      <c r="AM44" s="1" t="s">
        <v>12</v>
      </c>
      <c r="AN44" s="1" t="s">
        <v>13</v>
      </c>
      <c r="AQ44" s="1" t="s">
        <v>9</v>
      </c>
      <c r="AR44" s="1" t="s">
        <v>10</v>
      </c>
      <c r="AS44" s="1" t="s">
        <v>11</v>
      </c>
      <c r="AT44" s="1" t="s">
        <v>12</v>
      </c>
      <c r="AU44" s="1" t="s">
        <v>13</v>
      </c>
      <c r="AX44" s="1" t="s">
        <v>9</v>
      </c>
      <c r="AY44" s="1" t="s">
        <v>10</v>
      </c>
      <c r="AZ44" s="1" t="s">
        <v>11</v>
      </c>
      <c r="BA44" s="1" t="s">
        <v>12</v>
      </c>
      <c r="BB44" s="1" t="s">
        <v>13</v>
      </c>
      <c r="BE44" s="1" t="s">
        <v>9</v>
      </c>
      <c r="BF44" s="1" t="s">
        <v>10</v>
      </c>
      <c r="BG44" s="1" t="s">
        <v>11</v>
      </c>
      <c r="BH44" s="1" t="s">
        <v>12</v>
      </c>
      <c r="BI44" s="1" t="s">
        <v>13</v>
      </c>
    </row>
    <row r="45" spans="1:63" ht="15.75" customHeight="1" x14ac:dyDescent="0.15">
      <c r="A45" s="1" t="s">
        <v>14</v>
      </c>
      <c r="B45" s="1">
        <v>18</v>
      </c>
      <c r="C45" s="1">
        <v>14</v>
      </c>
      <c r="D45" s="1">
        <v>18</v>
      </c>
      <c r="E45" s="1">
        <v>14</v>
      </c>
      <c r="H45" s="1" t="s">
        <v>14</v>
      </c>
      <c r="I45" s="1">
        <v>18</v>
      </c>
      <c r="J45" s="1">
        <v>8</v>
      </c>
      <c r="K45" s="1">
        <v>3</v>
      </c>
      <c r="L45" s="1">
        <v>2</v>
      </c>
      <c r="O45" s="1" t="s">
        <v>14</v>
      </c>
      <c r="P45" s="1">
        <v>18</v>
      </c>
      <c r="Q45" s="1">
        <v>16</v>
      </c>
      <c r="R45" s="1">
        <v>17</v>
      </c>
      <c r="S45" s="1">
        <v>15</v>
      </c>
      <c r="V45" s="1" t="s">
        <v>14</v>
      </c>
      <c r="W45" s="1">
        <v>18</v>
      </c>
      <c r="X45" s="1">
        <v>0</v>
      </c>
      <c r="Y45" s="1">
        <v>4</v>
      </c>
      <c r="Z45" s="1">
        <v>0</v>
      </c>
      <c r="AC45" s="1" t="s">
        <v>14</v>
      </c>
      <c r="AD45" s="1">
        <v>18</v>
      </c>
      <c r="AE45" s="1">
        <v>0</v>
      </c>
      <c r="AF45" s="1">
        <v>7</v>
      </c>
      <c r="AG45" s="1">
        <v>0</v>
      </c>
      <c r="AJ45" s="1" t="s">
        <v>14</v>
      </c>
      <c r="AK45" s="1">
        <v>18</v>
      </c>
      <c r="AL45" s="1">
        <v>0</v>
      </c>
      <c r="AM45" s="1">
        <v>2</v>
      </c>
      <c r="AN45" s="1">
        <v>0</v>
      </c>
      <c r="AQ45" s="1" t="s">
        <v>14</v>
      </c>
      <c r="AR45" s="1">
        <v>18</v>
      </c>
      <c r="AS45" s="1">
        <v>0</v>
      </c>
      <c r="AT45" s="1">
        <v>3</v>
      </c>
      <c r="AU45" s="1">
        <v>0</v>
      </c>
      <c r="AX45" s="1" t="s">
        <v>14</v>
      </c>
      <c r="AY45" s="1">
        <v>18</v>
      </c>
      <c r="AZ45" s="1">
        <v>0</v>
      </c>
      <c r="BA45" s="1">
        <v>0</v>
      </c>
      <c r="BB45" s="1">
        <v>0</v>
      </c>
      <c r="BE45" s="1" t="s">
        <v>14</v>
      </c>
      <c r="BF45" s="1">
        <v>18</v>
      </c>
      <c r="BG45" s="1">
        <v>1</v>
      </c>
      <c r="BH45" s="1">
        <v>2</v>
      </c>
      <c r="BI45" s="1">
        <v>1</v>
      </c>
    </row>
    <row r="46" spans="1:63" ht="15.75" customHeight="1" x14ac:dyDescent="0.15">
      <c r="A46" s="1" t="s">
        <v>15</v>
      </c>
      <c r="B46" s="1">
        <v>0</v>
      </c>
      <c r="C46" s="1">
        <v>0</v>
      </c>
      <c r="D46" s="1">
        <v>0</v>
      </c>
      <c r="E46" s="1">
        <v>0</v>
      </c>
      <c r="H46" s="1" t="s">
        <v>15</v>
      </c>
      <c r="I46" s="1">
        <v>0</v>
      </c>
      <c r="J46" s="1">
        <v>0</v>
      </c>
      <c r="K46" s="1">
        <v>0</v>
      </c>
      <c r="L46" s="1">
        <v>0</v>
      </c>
      <c r="O46" s="1" t="s">
        <v>15</v>
      </c>
      <c r="P46" s="1">
        <v>0</v>
      </c>
      <c r="Q46" s="1">
        <v>0</v>
      </c>
      <c r="R46" s="1">
        <v>0</v>
      </c>
      <c r="S46" s="1">
        <v>0</v>
      </c>
      <c r="V46" s="1" t="s">
        <v>15</v>
      </c>
      <c r="W46" s="1">
        <v>0</v>
      </c>
      <c r="X46" s="1">
        <v>0</v>
      </c>
      <c r="Y46" s="1">
        <v>0</v>
      </c>
      <c r="Z46" s="1">
        <v>0</v>
      </c>
      <c r="AC46" s="1" t="s">
        <v>15</v>
      </c>
      <c r="AD46" s="1">
        <v>0</v>
      </c>
      <c r="AE46" s="1">
        <v>0</v>
      </c>
      <c r="AF46" s="1">
        <v>0</v>
      </c>
      <c r="AG46" s="1">
        <v>0</v>
      </c>
      <c r="AJ46" s="1" t="s">
        <v>15</v>
      </c>
      <c r="AK46" s="1">
        <v>0</v>
      </c>
      <c r="AL46" s="1">
        <v>0</v>
      </c>
      <c r="AM46" s="1">
        <v>0</v>
      </c>
      <c r="AN46" s="1">
        <v>0</v>
      </c>
      <c r="AQ46" s="1" t="s">
        <v>15</v>
      </c>
      <c r="AR46" s="1">
        <v>0</v>
      </c>
      <c r="AS46" s="1">
        <v>0</v>
      </c>
      <c r="AT46" s="1">
        <v>0</v>
      </c>
      <c r="AU46" s="1">
        <v>0</v>
      </c>
      <c r="AX46" s="1" t="s">
        <v>15</v>
      </c>
      <c r="AY46" s="1">
        <v>0</v>
      </c>
      <c r="AZ46" s="1">
        <v>0</v>
      </c>
      <c r="BA46" s="1">
        <v>0</v>
      </c>
      <c r="BB46" s="1">
        <v>0</v>
      </c>
      <c r="BE46" s="1" t="s">
        <v>15</v>
      </c>
      <c r="BF46" s="1">
        <v>0</v>
      </c>
      <c r="BG46" s="1">
        <v>0</v>
      </c>
      <c r="BH46" s="1">
        <v>0</v>
      </c>
      <c r="BI46" s="1">
        <v>0</v>
      </c>
    </row>
    <row r="47" spans="1:63" ht="15.75" customHeight="1" x14ac:dyDescent="0.15">
      <c r="A47" s="1" t="s">
        <v>16</v>
      </c>
      <c r="B47" s="1">
        <v>0</v>
      </c>
      <c r="C47" s="1">
        <v>0</v>
      </c>
      <c r="D47" s="1">
        <v>0</v>
      </c>
      <c r="E47" s="1">
        <v>0</v>
      </c>
      <c r="H47" s="1" t="s">
        <v>16</v>
      </c>
      <c r="I47" s="1">
        <v>0</v>
      </c>
      <c r="J47" s="1">
        <v>0</v>
      </c>
      <c r="K47" s="1">
        <v>0</v>
      </c>
      <c r="L47" s="1">
        <v>0</v>
      </c>
      <c r="O47" s="1" t="s">
        <v>16</v>
      </c>
      <c r="P47" s="1">
        <v>0</v>
      </c>
      <c r="Q47" s="1">
        <v>0</v>
      </c>
      <c r="R47" s="1">
        <v>0</v>
      </c>
      <c r="S47" s="1">
        <v>0</v>
      </c>
      <c r="V47" s="1" t="s">
        <v>16</v>
      </c>
      <c r="W47" s="1">
        <v>0</v>
      </c>
      <c r="X47" s="1">
        <v>0</v>
      </c>
      <c r="Y47" s="1">
        <v>0</v>
      </c>
      <c r="Z47" s="1">
        <v>0</v>
      </c>
      <c r="AC47" s="1" t="s">
        <v>16</v>
      </c>
      <c r="AD47" s="1">
        <v>0</v>
      </c>
      <c r="AE47" s="1">
        <v>0</v>
      </c>
      <c r="AF47" s="1">
        <v>0</v>
      </c>
      <c r="AG47" s="1">
        <v>0</v>
      </c>
      <c r="AJ47" s="1" t="s">
        <v>16</v>
      </c>
      <c r="AK47" s="1">
        <v>0</v>
      </c>
      <c r="AL47" s="1">
        <v>0</v>
      </c>
      <c r="AM47" s="1">
        <v>0</v>
      </c>
      <c r="AN47" s="1">
        <v>0</v>
      </c>
      <c r="AQ47" s="1" t="s">
        <v>16</v>
      </c>
      <c r="AR47" s="1">
        <v>0</v>
      </c>
      <c r="AS47" s="1">
        <v>0</v>
      </c>
      <c r="AT47" s="1">
        <v>0</v>
      </c>
      <c r="AU47" s="1">
        <v>0</v>
      </c>
      <c r="AX47" s="1" t="s">
        <v>16</v>
      </c>
      <c r="AY47" s="1">
        <v>0</v>
      </c>
      <c r="AZ47" s="1">
        <v>0</v>
      </c>
      <c r="BA47" s="1">
        <v>0</v>
      </c>
      <c r="BB47" s="1">
        <v>0</v>
      </c>
      <c r="BE47" s="1" t="s">
        <v>16</v>
      </c>
      <c r="BF47" s="1">
        <v>0</v>
      </c>
      <c r="BG47" s="1">
        <v>0</v>
      </c>
      <c r="BH47" s="1">
        <v>0</v>
      </c>
      <c r="BI47" s="1">
        <v>0</v>
      </c>
    </row>
    <row r="48" spans="1:63" ht="15.75" customHeight="1" x14ac:dyDescent="0.15">
      <c r="A48" s="1" t="s">
        <v>17</v>
      </c>
      <c r="B48" s="1">
        <v>0</v>
      </c>
      <c r="C48" s="1">
        <v>0</v>
      </c>
      <c r="D48" s="1">
        <v>0</v>
      </c>
      <c r="E48" s="1">
        <v>0</v>
      </c>
      <c r="H48" s="1" t="s">
        <v>17</v>
      </c>
      <c r="I48" s="1">
        <v>0</v>
      </c>
      <c r="J48" s="1">
        <v>0</v>
      </c>
      <c r="K48" s="1">
        <v>0</v>
      </c>
      <c r="L48" s="1">
        <v>0</v>
      </c>
      <c r="O48" s="1" t="s">
        <v>17</v>
      </c>
      <c r="P48" s="1">
        <v>0</v>
      </c>
      <c r="Q48" s="1">
        <v>0</v>
      </c>
      <c r="R48" s="1">
        <v>0</v>
      </c>
      <c r="S48" s="1">
        <v>0</v>
      </c>
      <c r="V48" s="1" t="s">
        <v>17</v>
      </c>
      <c r="W48" s="1">
        <v>0</v>
      </c>
      <c r="X48" s="1">
        <v>0</v>
      </c>
      <c r="Y48" s="1">
        <v>0</v>
      </c>
      <c r="Z48" s="1">
        <v>0</v>
      </c>
      <c r="AC48" s="1" t="s">
        <v>17</v>
      </c>
      <c r="AD48" s="1">
        <v>0</v>
      </c>
      <c r="AE48" s="1">
        <v>0</v>
      </c>
      <c r="AF48" s="1">
        <v>0</v>
      </c>
      <c r="AG48" s="1">
        <v>0</v>
      </c>
      <c r="AJ48" s="1" t="s">
        <v>17</v>
      </c>
      <c r="AK48" s="1">
        <v>0</v>
      </c>
      <c r="AL48" s="1">
        <v>0</v>
      </c>
      <c r="AM48" s="1">
        <v>0</v>
      </c>
      <c r="AN48" s="1">
        <v>0</v>
      </c>
      <c r="AQ48" s="1" t="s">
        <v>17</v>
      </c>
      <c r="AR48" s="1">
        <v>0</v>
      </c>
      <c r="AS48" s="1">
        <v>0</v>
      </c>
      <c r="AT48" s="1">
        <v>0</v>
      </c>
      <c r="AU48" s="1">
        <v>0</v>
      </c>
      <c r="AX48" s="1" t="s">
        <v>17</v>
      </c>
      <c r="AY48" s="1">
        <v>0</v>
      </c>
      <c r="AZ48" s="1">
        <v>0</v>
      </c>
      <c r="BA48" s="1">
        <v>0</v>
      </c>
      <c r="BB48" s="1">
        <v>0</v>
      </c>
      <c r="BE48" s="1" t="s">
        <v>17</v>
      </c>
      <c r="BF48" s="1">
        <v>0</v>
      </c>
      <c r="BG48" s="1">
        <v>0</v>
      </c>
      <c r="BH48" s="1">
        <v>0</v>
      </c>
      <c r="BI48" s="1">
        <v>0</v>
      </c>
    </row>
    <row r="49" spans="1:63" ht="15.75" customHeight="1" x14ac:dyDescent="0.15">
      <c r="A49" s="1" t="s">
        <v>18</v>
      </c>
      <c r="B49" s="1">
        <v>0</v>
      </c>
      <c r="C49" s="1">
        <v>0</v>
      </c>
      <c r="D49" s="1">
        <v>0</v>
      </c>
      <c r="E49" s="1">
        <v>0</v>
      </c>
      <c r="H49" s="1" t="s">
        <v>18</v>
      </c>
      <c r="I49" s="1">
        <v>0</v>
      </c>
      <c r="J49" s="1">
        <v>0</v>
      </c>
      <c r="K49" s="1">
        <v>0</v>
      </c>
      <c r="L49" s="1">
        <v>0</v>
      </c>
      <c r="O49" s="1" t="s">
        <v>18</v>
      </c>
      <c r="P49" s="1">
        <v>0</v>
      </c>
      <c r="Q49" s="1">
        <v>0</v>
      </c>
      <c r="R49" s="1">
        <v>0</v>
      </c>
      <c r="S49" s="1">
        <v>0</v>
      </c>
      <c r="V49" s="1" t="s">
        <v>18</v>
      </c>
      <c r="W49" s="1">
        <v>0</v>
      </c>
      <c r="X49" s="1">
        <v>0</v>
      </c>
      <c r="Y49" s="1">
        <v>0</v>
      </c>
      <c r="Z49" s="1">
        <v>0</v>
      </c>
      <c r="AC49" s="1" t="s">
        <v>18</v>
      </c>
      <c r="AD49" s="1">
        <v>0</v>
      </c>
      <c r="AE49" s="1">
        <v>0</v>
      </c>
      <c r="AF49" s="1">
        <v>0</v>
      </c>
      <c r="AG49" s="1">
        <v>0</v>
      </c>
      <c r="AJ49" s="1" t="s">
        <v>18</v>
      </c>
      <c r="AK49" s="1">
        <v>0</v>
      </c>
      <c r="AL49" s="1">
        <v>0</v>
      </c>
      <c r="AM49" s="1">
        <v>0</v>
      </c>
      <c r="AN49" s="1">
        <v>0</v>
      </c>
      <c r="AQ49" s="1" t="s">
        <v>18</v>
      </c>
      <c r="AR49" s="1">
        <v>0</v>
      </c>
      <c r="AS49" s="1">
        <v>0</v>
      </c>
      <c r="AT49" s="1">
        <v>0</v>
      </c>
      <c r="AU49" s="1">
        <v>0</v>
      </c>
      <c r="AX49" s="1" t="s">
        <v>18</v>
      </c>
      <c r="AY49" s="1">
        <v>0</v>
      </c>
      <c r="AZ49" s="1">
        <v>0</v>
      </c>
      <c r="BA49" s="1">
        <v>0</v>
      </c>
      <c r="BB49" s="1">
        <v>0</v>
      </c>
      <c r="BE49" s="1" t="s">
        <v>18</v>
      </c>
      <c r="BF49" s="1">
        <v>0</v>
      </c>
      <c r="BG49" s="1">
        <v>0</v>
      </c>
      <c r="BH49" s="1">
        <v>0</v>
      </c>
      <c r="BI49" s="1">
        <v>0</v>
      </c>
    </row>
    <row r="50" spans="1:63" ht="15.75" customHeight="1" x14ac:dyDescent="0.15">
      <c r="A50" s="1" t="s">
        <v>19</v>
      </c>
      <c r="B50" s="1">
        <v>0</v>
      </c>
      <c r="C50" s="1">
        <v>0</v>
      </c>
      <c r="D50" s="1">
        <v>0</v>
      </c>
      <c r="E50" s="1">
        <v>0</v>
      </c>
      <c r="H50" s="1" t="s">
        <v>19</v>
      </c>
      <c r="I50" s="1">
        <v>0</v>
      </c>
      <c r="J50" s="1">
        <v>0</v>
      </c>
      <c r="K50" s="1">
        <v>0</v>
      </c>
      <c r="L50" s="1">
        <v>0</v>
      </c>
      <c r="O50" s="1" t="s">
        <v>19</v>
      </c>
      <c r="P50" s="1">
        <v>0</v>
      </c>
      <c r="Q50" s="1">
        <v>0</v>
      </c>
      <c r="R50" s="1">
        <v>0</v>
      </c>
      <c r="S50" s="1">
        <v>0</v>
      </c>
      <c r="V50" s="1" t="s">
        <v>19</v>
      </c>
      <c r="W50" s="1">
        <v>0</v>
      </c>
      <c r="X50" s="1">
        <v>0</v>
      </c>
      <c r="Y50" s="1">
        <v>0</v>
      </c>
      <c r="Z50" s="1">
        <v>0</v>
      </c>
      <c r="AC50" s="1" t="s">
        <v>19</v>
      </c>
      <c r="AD50" s="1">
        <v>0</v>
      </c>
      <c r="AE50" s="1">
        <v>0</v>
      </c>
      <c r="AF50" s="1">
        <v>0</v>
      </c>
      <c r="AG50" s="1">
        <v>0</v>
      </c>
      <c r="AJ50" s="1" t="s">
        <v>19</v>
      </c>
      <c r="AK50" s="1">
        <v>0</v>
      </c>
      <c r="AL50" s="1">
        <v>0</v>
      </c>
      <c r="AM50" s="1">
        <v>0</v>
      </c>
      <c r="AN50" s="1">
        <v>0</v>
      </c>
      <c r="AQ50" s="1" t="s">
        <v>19</v>
      </c>
      <c r="AR50" s="1">
        <v>0</v>
      </c>
      <c r="AS50" s="1">
        <v>0</v>
      </c>
      <c r="AT50" s="1">
        <v>0</v>
      </c>
      <c r="AU50" s="1">
        <v>0</v>
      </c>
      <c r="AX50" s="1" t="s">
        <v>19</v>
      </c>
      <c r="AY50" s="1">
        <v>0</v>
      </c>
      <c r="AZ50" s="1">
        <v>0</v>
      </c>
      <c r="BA50" s="1">
        <v>0</v>
      </c>
      <c r="BB50" s="1">
        <v>0</v>
      </c>
      <c r="BE50" s="1" t="s">
        <v>19</v>
      </c>
      <c r="BF50" s="1">
        <v>0</v>
      </c>
      <c r="BG50" s="1">
        <v>0</v>
      </c>
      <c r="BH50" s="1">
        <v>0</v>
      </c>
      <c r="BI50" s="1">
        <v>0</v>
      </c>
    </row>
    <row r="51" spans="1:63" ht="15.75" customHeight="1" x14ac:dyDescent="0.15">
      <c r="A51" s="1" t="s">
        <v>10</v>
      </c>
      <c r="B51" s="1">
        <v>18</v>
      </c>
      <c r="C51" s="1">
        <v>14</v>
      </c>
      <c r="D51" s="1">
        <v>18</v>
      </c>
      <c r="E51" s="1">
        <v>14</v>
      </c>
      <c r="H51" s="1" t="s">
        <v>10</v>
      </c>
      <c r="I51" s="1">
        <v>18</v>
      </c>
      <c r="J51" s="1">
        <v>8</v>
      </c>
      <c r="K51" s="1">
        <v>3</v>
      </c>
      <c r="L51" s="1">
        <v>2</v>
      </c>
      <c r="O51" s="1" t="s">
        <v>10</v>
      </c>
      <c r="P51" s="1">
        <v>18</v>
      </c>
      <c r="Q51" s="1">
        <v>16</v>
      </c>
      <c r="R51" s="1">
        <v>17</v>
      </c>
      <c r="S51" s="1">
        <v>15</v>
      </c>
      <c r="V51" s="1" t="s">
        <v>10</v>
      </c>
      <c r="W51" s="1">
        <v>18</v>
      </c>
      <c r="X51" s="1">
        <v>0</v>
      </c>
      <c r="Y51" s="1">
        <v>4</v>
      </c>
      <c r="Z51" s="1">
        <v>0</v>
      </c>
      <c r="AC51" s="1" t="s">
        <v>10</v>
      </c>
      <c r="AD51" s="1">
        <v>18</v>
      </c>
      <c r="AE51" s="1">
        <v>0</v>
      </c>
      <c r="AF51" s="1">
        <v>7</v>
      </c>
      <c r="AG51" s="1">
        <v>0</v>
      </c>
      <c r="AJ51" s="1" t="s">
        <v>10</v>
      </c>
      <c r="AK51" s="1">
        <v>18</v>
      </c>
      <c r="AL51" s="1">
        <v>0</v>
      </c>
      <c r="AM51" s="1">
        <v>2</v>
      </c>
      <c r="AN51" s="1">
        <v>0</v>
      </c>
      <c r="AQ51" s="1" t="s">
        <v>10</v>
      </c>
      <c r="AR51" s="1">
        <v>18</v>
      </c>
      <c r="AS51" s="1">
        <v>0</v>
      </c>
      <c r="AT51" s="1">
        <v>3</v>
      </c>
      <c r="AU51" s="1">
        <v>0</v>
      </c>
      <c r="AX51" s="1" t="s">
        <v>10</v>
      </c>
      <c r="AY51" s="1">
        <v>18</v>
      </c>
      <c r="AZ51" s="1">
        <v>0</v>
      </c>
      <c r="BA51" s="1">
        <v>0</v>
      </c>
      <c r="BB51" s="1">
        <v>0</v>
      </c>
      <c r="BE51" s="1" t="s">
        <v>10</v>
      </c>
      <c r="BF51" s="1">
        <v>18</v>
      </c>
      <c r="BG51" s="1">
        <v>1</v>
      </c>
      <c r="BH51" s="1">
        <v>2</v>
      </c>
      <c r="BI51" s="1">
        <v>1</v>
      </c>
    </row>
    <row r="53" spans="1:63" ht="15.75" customHeight="1" x14ac:dyDescent="0.15">
      <c r="A53" s="1" t="s">
        <v>10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18</v>
      </c>
      <c r="G53" s="1" t="s">
        <v>19</v>
      </c>
      <c r="H53" s="1" t="s">
        <v>10</v>
      </c>
      <c r="I53" s="1" t="s">
        <v>14</v>
      </c>
      <c r="J53" s="1" t="s">
        <v>15</v>
      </c>
      <c r="K53" s="1" t="s">
        <v>16</v>
      </c>
      <c r="L53" s="1" t="s">
        <v>17</v>
      </c>
      <c r="M53" s="1" t="s">
        <v>18</v>
      </c>
      <c r="N53" s="1" t="s">
        <v>19</v>
      </c>
      <c r="O53" s="1" t="s">
        <v>10</v>
      </c>
      <c r="P53" s="1" t="s">
        <v>14</v>
      </c>
      <c r="Q53" s="1" t="s">
        <v>15</v>
      </c>
      <c r="R53" s="1" t="s">
        <v>16</v>
      </c>
      <c r="S53" s="1" t="s">
        <v>17</v>
      </c>
      <c r="T53" s="1" t="s">
        <v>18</v>
      </c>
      <c r="U53" s="1" t="s">
        <v>19</v>
      </c>
      <c r="V53" s="1" t="s">
        <v>10</v>
      </c>
      <c r="W53" s="1" t="s">
        <v>14</v>
      </c>
      <c r="X53" s="1" t="s">
        <v>15</v>
      </c>
      <c r="Y53" s="1" t="s">
        <v>16</v>
      </c>
      <c r="Z53" s="1" t="s">
        <v>17</v>
      </c>
      <c r="AA53" s="1" t="s">
        <v>18</v>
      </c>
      <c r="AB53" s="1" t="s">
        <v>19</v>
      </c>
      <c r="AC53" s="1" t="s">
        <v>10</v>
      </c>
      <c r="AD53" s="1" t="s">
        <v>14</v>
      </c>
      <c r="AE53" s="1" t="s">
        <v>15</v>
      </c>
      <c r="AF53" s="1" t="s">
        <v>16</v>
      </c>
      <c r="AG53" s="1" t="s">
        <v>17</v>
      </c>
      <c r="AH53" s="1" t="s">
        <v>18</v>
      </c>
      <c r="AI53" s="1" t="s">
        <v>19</v>
      </c>
      <c r="AJ53" s="1" t="s">
        <v>10</v>
      </c>
      <c r="AK53" s="1" t="s">
        <v>14</v>
      </c>
      <c r="AL53" s="1" t="s">
        <v>15</v>
      </c>
      <c r="AM53" s="1" t="s">
        <v>16</v>
      </c>
      <c r="AN53" s="1" t="s">
        <v>17</v>
      </c>
      <c r="AO53" s="1" t="s">
        <v>18</v>
      </c>
      <c r="AP53" s="1" t="s">
        <v>19</v>
      </c>
      <c r="AQ53" s="1" t="s">
        <v>10</v>
      </c>
      <c r="AR53" s="1" t="s">
        <v>14</v>
      </c>
      <c r="AS53" s="1" t="s">
        <v>15</v>
      </c>
      <c r="AT53" s="1" t="s">
        <v>16</v>
      </c>
      <c r="AU53" s="1" t="s">
        <v>17</v>
      </c>
      <c r="AV53" s="1" t="s">
        <v>18</v>
      </c>
      <c r="AW53" s="1" t="s">
        <v>19</v>
      </c>
      <c r="AX53" s="1" t="s">
        <v>10</v>
      </c>
      <c r="AY53" s="1" t="s">
        <v>14</v>
      </c>
      <c r="AZ53" s="1" t="s">
        <v>15</v>
      </c>
      <c r="BA53" s="1" t="s">
        <v>16</v>
      </c>
      <c r="BB53" s="1" t="s">
        <v>17</v>
      </c>
      <c r="BC53" s="1" t="s">
        <v>18</v>
      </c>
      <c r="BD53" s="1" t="s">
        <v>19</v>
      </c>
      <c r="BE53" s="1" t="s">
        <v>10</v>
      </c>
      <c r="BF53" s="1" t="s">
        <v>14</v>
      </c>
      <c r="BG53" s="1" t="s">
        <v>15</v>
      </c>
      <c r="BH53" s="1" t="s">
        <v>16</v>
      </c>
      <c r="BI53" s="1" t="s">
        <v>17</v>
      </c>
      <c r="BJ53" s="1" t="s">
        <v>18</v>
      </c>
      <c r="BK53" s="1" t="s">
        <v>19</v>
      </c>
    </row>
    <row r="54" spans="1:63" ht="15.75" customHeight="1" x14ac:dyDescent="0.15">
      <c r="A54" s="1">
        <v>14</v>
      </c>
      <c r="B54" s="1">
        <v>14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2</v>
      </c>
      <c r="I54" s="1">
        <v>2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15</v>
      </c>
      <c r="P54" s="1">
        <v>15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1</v>
      </c>
      <c r="BF54" s="1">
        <v>1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</row>
    <row r="57" spans="1:63" ht="15.75" customHeight="1" x14ac:dyDescent="0.15">
      <c r="A57" s="3" t="s">
        <v>23</v>
      </c>
    </row>
    <row r="58" spans="1:63" ht="13" x14ac:dyDescent="0.15">
      <c r="A58" s="1" t="s">
        <v>9</v>
      </c>
      <c r="B58" s="1" t="s">
        <v>10</v>
      </c>
      <c r="C58" s="1" t="s">
        <v>11</v>
      </c>
      <c r="D58" s="1" t="s">
        <v>12</v>
      </c>
      <c r="E58" s="1" t="s">
        <v>13</v>
      </c>
      <c r="H58" s="1" t="s">
        <v>9</v>
      </c>
      <c r="I58" s="1" t="s">
        <v>10</v>
      </c>
      <c r="J58" s="1" t="s">
        <v>11</v>
      </c>
      <c r="K58" s="1" t="s">
        <v>12</v>
      </c>
      <c r="L58" s="1" t="s">
        <v>13</v>
      </c>
      <c r="O58" s="1" t="s">
        <v>9</v>
      </c>
      <c r="P58" s="1" t="s">
        <v>10</v>
      </c>
      <c r="Q58" s="1" t="s">
        <v>11</v>
      </c>
      <c r="R58" s="1" t="s">
        <v>12</v>
      </c>
      <c r="S58" s="1" t="s">
        <v>13</v>
      </c>
      <c r="V58" s="1" t="s">
        <v>9</v>
      </c>
      <c r="W58" s="1" t="s">
        <v>10</v>
      </c>
      <c r="X58" s="1" t="s">
        <v>11</v>
      </c>
      <c r="Y58" s="1" t="s">
        <v>12</v>
      </c>
      <c r="Z58" s="1" t="s">
        <v>13</v>
      </c>
      <c r="AC58" s="1" t="s">
        <v>9</v>
      </c>
      <c r="AD58" s="1" t="s">
        <v>10</v>
      </c>
      <c r="AE58" s="1" t="s">
        <v>11</v>
      </c>
      <c r="AF58" s="1" t="s">
        <v>12</v>
      </c>
      <c r="AG58" s="1" t="s">
        <v>13</v>
      </c>
      <c r="AJ58" s="1" t="s">
        <v>9</v>
      </c>
      <c r="AK58" s="1" t="s">
        <v>10</v>
      </c>
      <c r="AL58" s="1" t="s">
        <v>11</v>
      </c>
      <c r="AM58" s="1" t="s">
        <v>12</v>
      </c>
      <c r="AN58" s="1" t="s">
        <v>13</v>
      </c>
      <c r="AQ58" s="1" t="s">
        <v>9</v>
      </c>
      <c r="AR58" s="1" t="s">
        <v>10</v>
      </c>
      <c r="AS58" s="1" t="s">
        <v>11</v>
      </c>
      <c r="AT58" s="1" t="s">
        <v>12</v>
      </c>
      <c r="AU58" s="1" t="s">
        <v>13</v>
      </c>
      <c r="AX58" s="1" t="s">
        <v>9</v>
      </c>
      <c r="AY58" s="1" t="s">
        <v>10</v>
      </c>
      <c r="AZ58" s="1" t="s">
        <v>11</v>
      </c>
      <c r="BA58" s="1" t="s">
        <v>12</v>
      </c>
      <c r="BB58" s="1" t="s">
        <v>13</v>
      </c>
      <c r="BE58" s="1" t="s">
        <v>9</v>
      </c>
      <c r="BF58" s="1" t="s">
        <v>10</v>
      </c>
      <c r="BG58" s="1" t="s">
        <v>11</v>
      </c>
      <c r="BH58" s="1" t="s">
        <v>12</v>
      </c>
      <c r="BI58" s="1" t="s">
        <v>13</v>
      </c>
    </row>
    <row r="59" spans="1:63" ht="13" x14ac:dyDescent="0.15">
      <c r="A59" s="1" t="s">
        <v>14</v>
      </c>
      <c r="B59" s="1">
        <v>2</v>
      </c>
      <c r="C59" s="1">
        <v>2</v>
      </c>
      <c r="D59" s="1">
        <v>2</v>
      </c>
      <c r="E59" s="1">
        <v>2</v>
      </c>
      <c r="H59" s="1" t="s">
        <v>14</v>
      </c>
      <c r="I59" s="1">
        <v>2</v>
      </c>
      <c r="J59" s="1">
        <v>1</v>
      </c>
      <c r="K59" s="1">
        <v>1</v>
      </c>
      <c r="L59" s="1">
        <v>1</v>
      </c>
      <c r="O59" s="1" t="s">
        <v>14</v>
      </c>
      <c r="P59" s="1">
        <v>2</v>
      </c>
      <c r="Q59" s="1">
        <v>2</v>
      </c>
      <c r="R59" s="1">
        <v>2</v>
      </c>
      <c r="S59" s="1">
        <v>2</v>
      </c>
      <c r="V59" s="1" t="s">
        <v>14</v>
      </c>
      <c r="W59" s="1">
        <v>2</v>
      </c>
      <c r="X59" s="1">
        <v>0</v>
      </c>
      <c r="Y59" s="1">
        <v>0</v>
      </c>
      <c r="Z59" s="1">
        <v>0</v>
      </c>
      <c r="AC59" s="1" t="s">
        <v>14</v>
      </c>
      <c r="AD59" s="1">
        <v>2</v>
      </c>
      <c r="AE59" s="1">
        <v>0</v>
      </c>
      <c r="AF59" s="1">
        <v>0</v>
      </c>
      <c r="AG59" s="1">
        <v>0</v>
      </c>
      <c r="AJ59" s="1" t="s">
        <v>14</v>
      </c>
      <c r="AK59" s="1">
        <v>2</v>
      </c>
      <c r="AL59" s="1">
        <v>0</v>
      </c>
      <c r="AM59" s="1">
        <v>0</v>
      </c>
      <c r="AN59" s="1">
        <v>0</v>
      </c>
      <c r="AQ59" s="1" t="s">
        <v>14</v>
      </c>
      <c r="AR59" s="1">
        <v>2</v>
      </c>
      <c r="AS59" s="1">
        <v>0</v>
      </c>
      <c r="AT59" s="1">
        <v>0</v>
      </c>
      <c r="AU59" s="1">
        <v>0</v>
      </c>
      <c r="AX59" s="1" t="s">
        <v>14</v>
      </c>
      <c r="AY59" s="1">
        <v>2</v>
      </c>
      <c r="AZ59" s="1">
        <v>0</v>
      </c>
      <c r="BA59" s="1">
        <v>0</v>
      </c>
      <c r="BB59" s="1">
        <v>0</v>
      </c>
      <c r="BE59" s="1" t="s">
        <v>14</v>
      </c>
      <c r="BF59" s="1">
        <v>2</v>
      </c>
      <c r="BG59" s="1">
        <v>0</v>
      </c>
      <c r="BH59" s="1">
        <v>0</v>
      </c>
      <c r="BI59" s="1">
        <v>0</v>
      </c>
    </row>
    <row r="60" spans="1:63" ht="13" x14ac:dyDescent="0.15">
      <c r="A60" s="1" t="s">
        <v>15</v>
      </c>
      <c r="B60" s="1">
        <v>0</v>
      </c>
      <c r="C60" s="1">
        <v>0</v>
      </c>
      <c r="D60" s="1">
        <v>0</v>
      </c>
      <c r="E60" s="1">
        <v>0</v>
      </c>
      <c r="H60" s="1" t="s">
        <v>15</v>
      </c>
      <c r="I60" s="1">
        <v>0</v>
      </c>
      <c r="J60" s="1">
        <v>0</v>
      </c>
      <c r="K60" s="1">
        <v>0</v>
      </c>
      <c r="L60" s="1">
        <v>0</v>
      </c>
      <c r="O60" s="1" t="s">
        <v>15</v>
      </c>
      <c r="P60" s="1">
        <v>0</v>
      </c>
      <c r="Q60" s="1">
        <v>0</v>
      </c>
      <c r="R60" s="1">
        <v>0</v>
      </c>
      <c r="S60" s="1">
        <v>0</v>
      </c>
      <c r="V60" s="1" t="s">
        <v>15</v>
      </c>
      <c r="W60" s="1">
        <v>0</v>
      </c>
      <c r="X60" s="1">
        <v>0</v>
      </c>
      <c r="Y60" s="1">
        <v>0</v>
      </c>
      <c r="Z60" s="1">
        <v>0</v>
      </c>
      <c r="AC60" s="1" t="s">
        <v>15</v>
      </c>
      <c r="AD60" s="1">
        <v>0</v>
      </c>
      <c r="AE60" s="1">
        <v>0</v>
      </c>
      <c r="AF60" s="1">
        <v>0</v>
      </c>
      <c r="AG60" s="1">
        <v>0</v>
      </c>
      <c r="AJ60" s="1" t="s">
        <v>15</v>
      </c>
      <c r="AK60" s="1">
        <v>0</v>
      </c>
      <c r="AL60" s="1">
        <v>0</v>
      </c>
      <c r="AM60" s="1">
        <v>0</v>
      </c>
      <c r="AN60" s="1">
        <v>0</v>
      </c>
      <c r="AQ60" s="1" t="s">
        <v>15</v>
      </c>
      <c r="AR60" s="1">
        <v>0</v>
      </c>
      <c r="AS60" s="1">
        <v>0</v>
      </c>
      <c r="AT60" s="1">
        <v>0</v>
      </c>
      <c r="AU60" s="1">
        <v>0</v>
      </c>
      <c r="AX60" s="1" t="s">
        <v>15</v>
      </c>
      <c r="AY60" s="1">
        <v>0</v>
      </c>
      <c r="AZ60" s="1">
        <v>0</v>
      </c>
      <c r="BA60" s="1">
        <v>0</v>
      </c>
      <c r="BB60" s="1">
        <v>0</v>
      </c>
      <c r="BE60" s="1" t="s">
        <v>15</v>
      </c>
      <c r="BF60" s="1">
        <v>0</v>
      </c>
      <c r="BG60" s="1">
        <v>0</v>
      </c>
      <c r="BH60" s="1">
        <v>0</v>
      </c>
      <c r="BI60" s="1">
        <v>0</v>
      </c>
    </row>
    <row r="61" spans="1:63" ht="13" x14ac:dyDescent="0.15">
      <c r="A61" s="1" t="s">
        <v>16</v>
      </c>
      <c r="B61" s="1">
        <v>1</v>
      </c>
      <c r="C61" s="1">
        <v>1</v>
      </c>
      <c r="D61" s="1">
        <v>1</v>
      </c>
      <c r="E61" s="1">
        <v>1</v>
      </c>
      <c r="H61" s="1" t="s">
        <v>16</v>
      </c>
      <c r="I61" s="1">
        <v>1</v>
      </c>
      <c r="J61" s="1">
        <v>0</v>
      </c>
      <c r="K61" s="1">
        <v>0</v>
      </c>
      <c r="L61" s="1">
        <v>0</v>
      </c>
      <c r="O61" s="1" t="s">
        <v>16</v>
      </c>
      <c r="P61" s="1">
        <v>1</v>
      </c>
      <c r="Q61" s="1">
        <v>1</v>
      </c>
      <c r="R61" s="1">
        <v>1</v>
      </c>
      <c r="S61" s="1">
        <v>1</v>
      </c>
      <c r="V61" s="1" t="s">
        <v>16</v>
      </c>
      <c r="W61" s="1">
        <v>1</v>
      </c>
      <c r="X61" s="1">
        <v>0</v>
      </c>
      <c r="Y61" s="1">
        <v>0</v>
      </c>
      <c r="Z61" s="1">
        <v>0</v>
      </c>
      <c r="AC61" s="1" t="s">
        <v>16</v>
      </c>
      <c r="AD61" s="1">
        <v>1</v>
      </c>
      <c r="AE61" s="1">
        <v>0</v>
      </c>
      <c r="AF61" s="1">
        <v>0</v>
      </c>
      <c r="AG61" s="1">
        <v>0</v>
      </c>
      <c r="AJ61" s="1" t="s">
        <v>16</v>
      </c>
      <c r="AK61" s="1">
        <v>1</v>
      </c>
      <c r="AL61" s="1">
        <v>0</v>
      </c>
      <c r="AM61" s="1">
        <v>0</v>
      </c>
      <c r="AN61" s="1">
        <v>0</v>
      </c>
      <c r="AQ61" s="1" t="s">
        <v>16</v>
      </c>
      <c r="AR61" s="1">
        <v>1</v>
      </c>
      <c r="AS61" s="1">
        <v>0</v>
      </c>
      <c r="AT61" s="1">
        <v>0</v>
      </c>
      <c r="AU61" s="1">
        <v>0</v>
      </c>
      <c r="AX61" s="1" t="s">
        <v>16</v>
      </c>
      <c r="AY61" s="1">
        <v>1</v>
      </c>
      <c r="AZ61" s="1">
        <v>0</v>
      </c>
      <c r="BA61" s="1">
        <v>0</v>
      </c>
      <c r="BB61" s="1">
        <v>0</v>
      </c>
      <c r="BE61" s="1" t="s">
        <v>16</v>
      </c>
      <c r="BF61" s="1">
        <v>1</v>
      </c>
      <c r="BG61" s="1">
        <v>0</v>
      </c>
      <c r="BH61" s="1">
        <v>0</v>
      </c>
      <c r="BI61" s="1">
        <v>0</v>
      </c>
    </row>
    <row r="62" spans="1:63" ht="13" x14ac:dyDescent="0.15">
      <c r="A62" s="1" t="s">
        <v>17</v>
      </c>
      <c r="B62" s="1">
        <v>0</v>
      </c>
      <c r="C62" s="1">
        <v>0</v>
      </c>
      <c r="D62" s="1">
        <v>0</v>
      </c>
      <c r="E62" s="1">
        <v>0</v>
      </c>
      <c r="H62" s="1" t="s">
        <v>17</v>
      </c>
      <c r="I62" s="1">
        <v>0</v>
      </c>
      <c r="J62" s="1">
        <v>0</v>
      </c>
      <c r="K62" s="1">
        <v>0</v>
      </c>
      <c r="L62" s="1">
        <v>0</v>
      </c>
      <c r="O62" s="1" t="s">
        <v>17</v>
      </c>
      <c r="P62" s="1">
        <v>0</v>
      </c>
      <c r="Q62" s="1">
        <v>0</v>
      </c>
      <c r="R62" s="1">
        <v>0</v>
      </c>
      <c r="S62" s="1">
        <v>0</v>
      </c>
      <c r="V62" s="1" t="s">
        <v>17</v>
      </c>
      <c r="W62" s="1">
        <v>0</v>
      </c>
      <c r="X62" s="1">
        <v>0</v>
      </c>
      <c r="Y62" s="1">
        <v>0</v>
      </c>
      <c r="Z62" s="1">
        <v>0</v>
      </c>
      <c r="AC62" s="1" t="s">
        <v>17</v>
      </c>
      <c r="AD62" s="1">
        <v>0</v>
      </c>
      <c r="AE62" s="1">
        <v>0</v>
      </c>
      <c r="AF62" s="1">
        <v>0</v>
      </c>
      <c r="AG62" s="1">
        <v>0</v>
      </c>
      <c r="AJ62" s="1" t="s">
        <v>17</v>
      </c>
      <c r="AK62" s="1">
        <v>0</v>
      </c>
      <c r="AL62" s="1">
        <v>0</v>
      </c>
      <c r="AM62" s="1">
        <v>0</v>
      </c>
      <c r="AN62" s="1">
        <v>0</v>
      </c>
      <c r="AQ62" s="1" t="s">
        <v>17</v>
      </c>
      <c r="AR62" s="1">
        <v>0</v>
      </c>
      <c r="AS62" s="1">
        <v>0</v>
      </c>
      <c r="AT62" s="1">
        <v>0</v>
      </c>
      <c r="AU62" s="1">
        <v>0</v>
      </c>
      <c r="AX62" s="1" t="s">
        <v>17</v>
      </c>
      <c r="AY62" s="1">
        <v>0</v>
      </c>
      <c r="AZ62" s="1">
        <v>0</v>
      </c>
      <c r="BA62" s="1">
        <v>0</v>
      </c>
      <c r="BB62" s="1">
        <v>0</v>
      </c>
      <c r="BE62" s="1" t="s">
        <v>17</v>
      </c>
      <c r="BF62" s="1">
        <v>0</v>
      </c>
      <c r="BG62" s="1">
        <v>0</v>
      </c>
      <c r="BH62" s="1">
        <v>0</v>
      </c>
      <c r="BI62" s="1">
        <v>0</v>
      </c>
    </row>
    <row r="63" spans="1:63" ht="13" x14ac:dyDescent="0.15">
      <c r="A63" s="1" t="s">
        <v>18</v>
      </c>
      <c r="B63" s="1">
        <v>0</v>
      </c>
      <c r="C63" s="1">
        <v>0</v>
      </c>
      <c r="D63" s="1">
        <v>0</v>
      </c>
      <c r="E63" s="1">
        <v>0</v>
      </c>
      <c r="H63" s="1" t="s">
        <v>18</v>
      </c>
      <c r="I63" s="1">
        <v>0</v>
      </c>
      <c r="J63" s="1">
        <v>0</v>
      </c>
      <c r="K63" s="1">
        <v>0</v>
      </c>
      <c r="L63" s="1">
        <v>0</v>
      </c>
      <c r="O63" s="1" t="s">
        <v>18</v>
      </c>
      <c r="P63" s="1">
        <v>0</v>
      </c>
      <c r="Q63" s="1">
        <v>0</v>
      </c>
      <c r="R63" s="1">
        <v>0</v>
      </c>
      <c r="S63" s="1">
        <v>0</v>
      </c>
      <c r="V63" s="1" t="s">
        <v>18</v>
      </c>
      <c r="W63" s="1">
        <v>0</v>
      </c>
      <c r="X63" s="1">
        <v>0</v>
      </c>
      <c r="Y63" s="1">
        <v>0</v>
      </c>
      <c r="Z63" s="1">
        <v>0</v>
      </c>
      <c r="AC63" s="1" t="s">
        <v>18</v>
      </c>
      <c r="AD63" s="1">
        <v>0</v>
      </c>
      <c r="AE63" s="1">
        <v>0</v>
      </c>
      <c r="AF63" s="1">
        <v>0</v>
      </c>
      <c r="AG63" s="1">
        <v>0</v>
      </c>
      <c r="AJ63" s="1" t="s">
        <v>18</v>
      </c>
      <c r="AK63" s="1">
        <v>0</v>
      </c>
      <c r="AL63" s="1">
        <v>0</v>
      </c>
      <c r="AM63" s="1">
        <v>0</v>
      </c>
      <c r="AN63" s="1">
        <v>0</v>
      </c>
      <c r="AQ63" s="1" t="s">
        <v>18</v>
      </c>
      <c r="AR63" s="1">
        <v>0</v>
      </c>
      <c r="AS63" s="1">
        <v>0</v>
      </c>
      <c r="AT63" s="1">
        <v>0</v>
      </c>
      <c r="AU63" s="1">
        <v>0</v>
      </c>
      <c r="AX63" s="1" t="s">
        <v>18</v>
      </c>
      <c r="AY63" s="1">
        <v>0</v>
      </c>
      <c r="AZ63" s="1">
        <v>0</v>
      </c>
      <c r="BA63" s="1">
        <v>0</v>
      </c>
      <c r="BB63" s="1">
        <v>0</v>
      </c>
      <c r="BE63" s="1" t="s">
        <v>18</v>
      </c>
      <c r="BF63" s="1">
        <v>0</v>
      </c>
      <c r="BG63" s="1">
        <v>0</v>
      </c>
      <c r="BH63" s="1">
        <v>0</v>
      </c>
      <c r="BI63" s="1">
        <v>0</v>
      </c>
    </row>
    <row r="64" spans="1:63" ht="13" x14ac:dyDescent="0.15">
      <c r="A64" s="1" t="s">
        <v>19</v>
      </c>
      <c r="B64" s="1">
        <v>0</v>
      </c>
      <c r="C64" s="1">
        <v>0</v>
      </c>
      <c r="D64" s="1">
        <v>0</v>
      </c>
      <c r="E64" s="1">
        <v>0</v>
      </c>
      <c r="H64" s="1" t="s">
        <v>19</v>
      </c>
      <c r="I64" s="1">
        <v>0</v>
      </c>
      <c r="J64" s="1">
        <v>0</v>
      </c>
      <c r="K64" s="1">
        <v>0</v>
      </c>
      <c r="L64" s="1">
        <v>0</v>
      </c>
      <c r="O64" s="1" t="s">
        <v>19</v>
      </c>
      <c r="P64" s="1">
        <v>0</v>
      </c>
      <c r="Q64" s="1">
        <v>0</v>
      </c>
      <c r="R64" s="1">
        <v>0</v>
      </c>
      <c r="S64" s="1">
        <v>0</v>
      </c>
      <c r="V64" s="1" t="s">
        <v>19</v>
      </c>
      <c r="W64" s="1">
        <v>0</v>
      </c>
      <c r="X64" s="1">
        <v>0</v>
      </c>
      <c r="Y64" s="1">
        <v>0</v>
      </c>
      <c r="Z64" s="1">
        <v>0</v>
      </c>
      <c r="AC64" s="1" t="s">
        <v>19</v>
      </c>
      <c r="AD64" s="1">
        <v>0</v>
      </c>
      <c r="AE64" s="1">
        <v>0</v>
      </c>
      <c r="AF64" s="1">
        <v>0</v>
      </c>
      <c r="AG64" s="1">
        <v>0</v>
      </c>
      <c r="AJ64" s="1" t="s">
        <v>19</v>
      </c>
      <c r="AK64" s="1">
        <v>0</v>
      </c>
      <c r="AL64" s="1">
        <v>0</v>
      </c>
      <c r="AM64" s="1">
        <v>0</v>
      </c>
      <c r="AN64" s="1">
        <v>0</v>
      </c>
      <c r="AQ64" s="1" t="s">
        <v>19</v>
      </c>
      <c r="AR64" s="1">
        <v>0</v>
      </c>
      <c r="AS64" s="1">
        <v>0</v>
      </c>
      <c r="AT64" s="1">
        <v>0</v>
      </c>
      <c r="AU64" s="1">
        <v>0</v>
      </c>
      <c r="AX64" s="1" t="s">
        <v>19</v>
      </c>
      <c r="AY64" s="1">
        <v>0</v>
      </c>
      <c r="AZ64" s="1">
        <v>0</v>
      </c>
      <c r="BA64" s="1">
        <v>0</v>
      </c>
      <c r="BB64" s="1">
        <v>0</v>
      </c>
      <c r="BE64" s="1" t="s">
        <v>19</v>
      </c>
      <c r="BF64" s="1">
        <v>0</v>
      </c>
      <c r="BG64" s="1">
        <v>0</v>
      </c>
      <c r="BH64" s="1">
        <v>0</v>
      </c>
      <c r="BI64" s="1">
        <v>0</v>
      </c>
    </row>
    <row r="65" spans="1:63" ht="13" x14ac:dyDescent="0.15">
      <c r="A65" s="1" t="s">
        <v>10</v>
      </c>
      <c r="B65" s="1">
        <v>3</v>
      </c>
      <c r="C65" s="1">
        <v>3</v>
      </c>
      <c r="D65" s="1">
        <v>3</v>
      </c>
      <c r="E65" s="1">
        <v>3</v>
      </c>
      <c r="H65" s="1" t="s">
        <v>10</v>
      </c>
      <c r="I65" s="1">
        <v>3</v>
      </c>
      <c r="J65" s="1">
        <v>1</v>
      </c>
      <c r="K65" s="1">
        <v>1</v>
      </c>
      <c r="L65" s="1">
        <v>1</v>
      </c>
      <c r="O65" s="1" t="s">
        <v>10</v>
      </c>
      <c r="P65" s="1">
        <v>3</v>
      </c>
      <c r="Q65" s="1">
        <v>3</v>
      </c>
      <c r="R65" s="1">
        <v>3</v>
      </c>
      <c r="S65" s="1">
        <v>3</v>
      </c>
      <c r="V65" s="1" t="s">
        <v>10</v>
      </c>
      <c r="W65" s="1">
        <v>3</v>
      </c>
      <c r="X65" s="1">
        <v>0</v>
      </c>
      <c r="Y65" s="1">
        <v>0</v>
      </c>
      <c r="Z65" s="1">
        <v>0</v>
      </c>
      <c r="AC65" s="1" t="s">
        <v>10</v>
      </c>
      <c r="AD65" s="1">
        <v>3</v>
      </c>
      <c r="AE65" s="1">
        <v>0</v>
      </c>
      <c r="AF65" s="1">
        <v>0</v>
      </c>
      <c r="AG65" s="1">
        <v>0</v>
      </c>
      <c r="AJ65" s="1" t="s">
        <v>10</v>
      </c>
      <c r="AK65" s="1">
        <v>3</v>
      </c>
      <c r="AL65" s="1">
        <v>0</v>
      </c>
      <c r="AM65" s="1">
        <v>0</v>
      </c>
      <c r="AN65" s="1">
        <v>0</v>
      </c>
      <c r="AQ65" s="1" t="s">
        <v>10</v>
      </c>
      <c r="AR65" s="1">
        <v>3</v>
      </c>
      <c r="AS65" s="1">
        <v>0</v>
      </c>
      <c r="AT65" s="1">
        <v>0</v>
      </c>
      <c r="AU65" s="1">
        <v>0</v>
      </c>
      <c r="AX65" s="1" t="s">
        <v>10</v>
      </c>
      <c r="AY65" s="1">
        <v>3</v>
      </c>
      <c r="AZ65" s="1">
        <v>0</v>
      </c>
      <c r="BA65" s="1">
        <v>0</v>
      </c>
      <c r="BB65" s="1">
        <v>0</v>
      </c>
      <c r="BE65" s="1" t="s">
        <v>10</v>
      </c>
      <c r="BF65" s="1">
        <v>3</v>
      </c>
      <c r="BG65" s="1">
        <v>0</v>
      </c>
      <c r="BH65" s="1">
        <v>0</v>
      </c>
      <c r="BI65" s="1">
        <v>0</v>
      </c>
    </row>
    <row r="67" spans="1:63" ht="13" x14ac:dyDescent="0.15">
      <c r="A67" s="1" t="s">
        <v>10</v>
      </c>
      <c r="B67" s="1" t="s">
        <v>14</v>
      </c>
      <c r="C67" s="1" t="s">
        <v>15</v>
      </c>
      <c r="D67" s="1" t="s">
        <v>16</v>
      </c>
      <c r="E67" s="1" t="s">
        <v>17</v>
      </c>
      <c r="F67" s="1" t="s">
        <v>18</v>
      </c>
      <c r="G67" s="1" t="s">
        <v>19</v>
      </c>
      <c r="H67" s="1" t="s">
        <v>10</v>
      </c>
      <c r="I67" s="1" t="s">
        <v>14</v>
      </c>
      <c r="J67" s="1" t="s">
        <v>15</v>
      </c>
      <c r="K67" s="1" t="s">
        <v>16</v>
      </c>
      <c r="L67" s="1" t="s">
        <v>17</v>
      </c>
      <c r="M67" s="1" t="s">
        <v>18</v>
      </c>
      <c r="N67" s="1" t="s">
        <v>19</v>
      </c>
      <c r="O67" s="1" t="s">
        <v>10</v>
      </c>
      <c r="P67" s="1" t="s">
        <v>14</v>
      </c>
      <c r="Q67" s="1" t="s">
        <v>15</v>
      </c>
      <c r="R67" s="1" t="s">
        <v>16</v>
      </c>
      <c r="S67" s="1" t="s">
        <v>17</v>
      </c>
      <c r="T67" s="1" t="s">
        <v>18</v>
      </c>
      <c r="U67" s="1" t="s">
        <v>19</v>
      </c>
      <c r="V67" s="1" t="s">
        <v>10</v>
      </c>
      <c r="W67" s="1" t="s">
        <v>14</v>
      </c>
      <c r="X67" s="1" t="s">
        <v>15</v>
      </c>
      <c r="Y67" s="1" t="s">
        <v>16</v>
      </c>
      <c r="Z67" s="1" t="s">
        <v>17</v>
      </c>
      <c r="AA67" s="1" t="s">
        <v>18</v>
      </c>
      <c r="AB67" s="1" t="s">
        <v>19</v>
      </c>
      <c r="AC67" s="1" t="s">
        <v>10</v>
      </c>
      <c r="AD67" s="1" t="s">
        <v>14</v>
      </c>
      <c r="AE67" s="1" t="s">
        <v>15</v>
      </c>
      <c r="AF67" s="1" t="s">
        <v>16</v>
      </c>
      <c r="AG67" s="1" t="s">
        <v>17</v>
      </c>
      <c r="AH67" s="1" t="s">
        <v>18</v>
      </c>
      <c r="AI67" s="1" t="s">
        <v>19</v>
      </c>
      <c r="AJ67" s="1" t="s">
        <v>10</v>
      </c>
      <c r="AK67" s="1" t="s">
        <v>14</v>
      </c>
      <c r="AL67" s="1" t="s">
        <v>15</v>
      </c>
      <c r="AM67" s="1" t="s">
        <v>16</v>
      </c>
      <c r="AN67" s="1" t="s">
        <v>17</v>
      </c>
      <c r="AO67" s="1" t="s">
        <v>18</v>
      </c>
      <c r="AP67" s="1" t="s">
        <v>19</v>
      </c>
      <c r="AQ67" s="1" t="s">
        <v>10</v>
      </c>
      <c r="AR67" s="1" t="s">
        <v>14</v>
      </c>
      <c r="AS67" s="1" t="s">
        <v>15</v>
      </c>
      <c r="AT67" s="1" t="s">
        <v>16</v>
      </c>
      <c r="AU67" s="1" t="s">
        <v>17</v>
      </c>
      <c r="AV67" s="1" t="s">
        <v>18</v>
      </c>
      <c r="AW67" s="1" t="s">
        <v>19</v>
      </c>
      <c r="AX67" s="1" t="s">
        <v>10</v>
      </c>
      <c r="AY67" s="1" t="s">
        <v>14</v>
      </c>
      <c r="AZ67" s="1" t="s">
        <v>15</v>
      </c>
      <c r="BA67" s="1" t="s">
        <v>16</v>
      </c>
      <c r="BB67" s="1" t="s">
        <v>17</v>
      </c>
      <c r="BC67" s="1" t="s">
        <v>18</v>
      </c>
      <c r="BD67" s="1" t="s">
        <v>19</v>
      </c>
      <c r="BE67" s="1" t="s">
        <v>10</v>
      </c>
      <c r="BF67" s="1" t="s">
        <v>14</v>
      </c>
      <c r="BG67" s="1" t="s">
        <v>15</v>
      </c>
      <c r="BH67" s="1" t="s">
        <v>16</v>
      </c>
      <c r="BI67" s="1" t="s">
        <v>17</v>
      </c>
      <c r="BJ67" s="1" t="s">
        <v>18</v>
      </c>
      <c r="BK67" s="1" t="s">
        <v>19</v>
      </c>
    </row>
    <row r="68" spans="1:63" ht="13" x14ac:dyDescent="0.15">
      <c r="A68" s="1">
        <v>3</v>
      </c>
      <c r="B68" s="1">
        <v>2</v>
      </c>
      <c r="C68" s="1">
        <v>0</v>
      </c>
      <c r="D68" s="1">
        <v>1</v>
      </c>
      <c r="E68" s="1">
        <v>0</v>
      </c>
      <c r="F68" s="1">
        <v>0</v>
      </c>
      <c r="G68" s="1">
        <v>0</v>
      </c>
      <c r="H68" s="1">
        <v>1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3</v>
      </c>
      <c r="P68" s="1">
        <v>2</v>
      </c>
      <c r="Q68" s="1">
        <v>0</v>
      </c>
      <c r="R68" s="1">
        <v>1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</row>
    <row r="70" spans="1:63" ht="13" x14ac:dyDescent="0.15">
      <c r="A70" s="3"/>
    </row>
    <row r="71" spans="1:63" ht="13" x14ac:dyDescent="0.15">
      <c r="A71" s="1" t="s">
        <v>24</v>
      </c>
    </row>
    <row r="72" spans="1:63" ht="13" x14ac:dyDescent="0.15">
      <c r="A72" s="1" t="s">
        <v>9</v>
      </c>
      <c r="B72" s="1" t="s">
        <v>10</v>
      </c>
      <c r="C72" s="1" t="s">
        <v>11</v>
      </c>
      <c r="D72" s="1" t="s">
        <v>12</v>
      </c>
      <c r="E72" s="1" t="s">
        <v>13</v>
      </c>
      <c r="H72" s="1" t="s">
        <v>9</v>
      </c>
      <c r="I72" s="1" t="s">
        <v>10</v>
      </c>
      <c r="J72" s="1" t="s">
        <v>11</v>
      </c>
      <c r="K72" s="1" t="s">
        <v>12</v>
      </c>
      <c r="L72" s="1" t="s">
        <v>13</v>
      </c>
      <c r="O72" s="1" t="s">
        <v>9</v>
      </c>
      <c r="P72" s="1" t="s">
        <v>10</v>
      </c>
      <c r="Q72" s="1" t="s">
        <v>11</v>
      </c>
      <c r="R72" s="1" t="s">
        <v>12</v>
      </c>
      <c r="S72" s="1" t="s">
        <v>13</v>
      </c>
      <c r="V72" s="1" t="s">
        <v>9</v>
      </c>
      <c r="W72" s="1" t="s">
        <v>10</v>
      </c>
      <c r="X72" s="1" t="s">
        <v>11</v>
      </c>
      <c r="Y72" s="1" t="s">
        <v>12</v>
      </c>
      <c r="Z72" s="1" t="s">
        <v>13</v>
      </c>
      <c r="AC72" s="1" t="s">
        <v>9</v>
      </c>
      <c r="AD72" s="1" t="s">
        <v>10</v>
      </c>
      <c r="AE72" s="1" t="s">
        <v>11</v>
      </c>
      <c r="AF72" s="1" t="s">
        <v>12</v>
      </c>
      <c r="AG72" s="1" t="s">
        <v>13</v>
      </c>
      <c r="AJ72" s="1" t="s">
        <v>9</v>
      </c>
      <c r="AK72" s="1" t="s">
        <v>10</v>
      </c>
      <c r="AL72" s="1" t="s">
        <v>11</v>
      </c>
      <c r="AM72" s="1" t="s">
        <v>12</v>
      </c>
      <c r="AN72" s="1" t="s">
        <v>13</v>
      </c>
      <c r="AQ72" s="1" t="s">
        <v>9</v>
      </c>
      <c r="AR72" s="1" t="s">
        <v>10</v>
      </c>
      <c r="AS72" s="1" t="s">
        <v>11</v>
      </c>
      <c r="AT72" s="1" t="s">
        <v>12</v>
      </c>
      <c r="AU72" s="1" t="s">
        <v>13</v>
      </c>
      <c r="AX72" s="1" t="s">
        <v>9</v>
      </c>
      <c r="AY72" s="1" t="s">
        <v>10</v>
      </c>
      <c r="AZ72" s="1" t="s">
        <v>11</v>
      </c>
      <c r="BA72" s="1" t="s">
        <v>12</v>
      </c>
      <c r="BB72" s="1" t="s">
        <v>13</v>
      </c>
      <c r="BE72" s="1" t="s">
        <v>9</v>
      </c>
      <c r="BF72" s="1" t="s">
        <v>10</v>
      </c>
      <c r="BG72" s="1" t="s">
        <v>11</v>
      </c>
      <c r="BH72" s="1" t="s">
        <v>12</v>
      </c>
      <c r="BI72" s="1" t="s">
        <v>13</v>
      </c>
    </row>
    <row r="73" spans="1:63" ht="13" x14ac:dyDescent="0.15">
      <c r="A73" s="1" t="s">
        <v>14</v>
      </c>
      <c r="B73" s="1">
        <v>19</v>
      </c>
      <c r="C73" s="1">
        <v>16</v>
      </c>
      <c r="D73" s="1">
        <v>18</v>
      </c>
      <c r="E73" s="1">
        <v>15</v>
      </c>
      <c r="H73" s="1" t="s">
        <v>14</v>
      </c>
      <c r="I73" s="1">
        <v>19</v>
      </c>
      <c r="J73" s="1">
        <v>2</v>
      </c>
      <c r="K73" s="1">
        <v>2</v>
      </c>
      <c r="L73" s="1">
        <v>1</v>
      </c>
      <c r="O73" s="1" t="s">
        <v>14</v>
      </c>
      <c r="P73" s="1">
        <v>19</v>
      </c>
      <c r="Q73" s="1">
        <v>15</v>
      </c>
      <c r="R73" s="1">
        <v>18</v>
      </c>
      <c r="S73" s="1">
        <v>14</v>
      </c>
      <c r="V73" s="1" t="s">
        <v>14</v>
      </c>
      <c r="W73" s="1">
        <v>19</v>
      </c>
      <c r="X73" s="1">
        <v>0</v>
      </c>
      <c r="Y73" s="1">
        <v>3</v>
      </c>
      <c r="Z73" s="1">
        <v>0</v>
      </c>
      <c r="AC73" s="1" t="s">
        <v>14</v>
      </c>
      <c r="AD73" s="1">
        <v>19</v>
      </c>
      <c r="AE73" s="1">
        <v>0</v>
      </c>
      <c r="AF73" s="1">
        <v>2</v>
      </c>
      <c r="AG73" s="1">
        <v>0</v>
      </c>
      <c r="AJ73" s="1" t="s">
        <v>14</v>
      </c>
      <c r="AK73" s="1">
        <v>19</v>
      </c>
      <c r="AL73" s="1">
        <v>2</v>
      </c>
      <c r="AM73" s="1">
        <v>1</v>
      </c>
      <c r="AN73" s="1">
        <v>0</v>
      </c>
      <c r="AQ73" s="1" t="s">
        <v>14</v>
      </c>
      <c r="AR73" s="1">
        <v>19</v>
      </c>
      <c r="AS73" s="1">
        <v>0</v>
      </c>
      <c r="AT73" s="1">
        <v>1</v>
      </c>
      <c r="AU73" s="1">
        <v>0</v>
      </c>
      <c r="AX73" s="1" t="s">
        <v>14</v>
      </c>
      <c r="AY73" s="1">
        <v>19</v>
      </c>
      <c r="AZ73" s="1">
        <v>0</v>
      </c>
      <c r="BA73" s="1">
        <v>0</v>
      </c>
      <c r="BB73" s="1">
        <v>0</v>
      </c>
      <c r="BE73" s="1" t="s">
        <v>14</v>
      </c>
      <c r="BF73" s="1">
        <v>19</v>
      </c>
      <c r="BG73" s="1">
        <v>0</v>
      </c>
      <c r="BH73" s="1">
        <v>0</v>
      </c>
      <c r="BI73" s="1">
        <v>0</v>
      </c>
    </row>
    <row r="74" spans="1:63" ht="13" x14ac:dyDescent="0.15">
      <c r="A74" s="1" t="s">
        <v>15</v>
      </c>
      <c r="B74" s="1">
        <v>0</v>
      </c>
      <c r="C74" s="1">
        <v>0</v>
      </c>
      <c r="D74" s="1">
        <v>0</v>
      </c>
      <c r="E74" s="1">
        <v>0</v>
      </c>
      <c r="H74" s="1" t="s">
        <v>15</v>
      </c>
      <c r="I74" s="1">
        <v>0</v>
      </c>
      <c r="J74" s="1">
        <v>0</v>
      </c>
      <c r="K74" s="1">
        <v>0</v>
      </c>
      <c r="L74" s="1">
        <v>0</v>
      </c>
      <c r="O74" s="1" t="s">
        <v>15</v>
      </c>
      <c r="P74" s="1">
        <v>0</v>
      </c>
      <c r="Q74" s="1">
        <v>0</v>
      </c>
      <c r="R74" s="1">
        <v>0</v>
      </c>
      <c r="S74" s="1">
        <v>0</v>
      </c>
      <c r="V74" s="1" t="s">
        <v>15</v>
      </c>
      <c r="W74" s="1">
        <v>0</v>
      </c>
      <c r="X74" s="1">
        <v>0</v>
      </c>
      <c r="Y74" s="1">
        <v>0</v>
      </c>
      <c r="Z74" s="1">
        <v>0</v>
      </c>
      <c r="AC74" s="1" t="s">
        <v>15</v>
      </c>
      <c r="AD74" s="1">
        <v>0</v>
      </c>
      <c r="AE74" s="1">
        <v>0</v>
      </c>
      <c r="AF74" s="1">
        <v>0</v>
      </c>
      <c r="AG74" s="1">
        <v>0</v>
      </c>
      <c r="AJ74" s="1" t="s">
        <v>15</v>
      </c>
      <c r="AK74" s="1">
        <v>0</v>
      </c>
      <c r="AL74" s="1">
        <v>0</v>
      </c>
      <c r="AM74" s="1">
        <v>0</v>
      </c>
      <c r="AN74" s="1">
        <v>0</v>
      </c>
      <c r="AQ74" s="1" t="s">
        <v>15</v>
      </c>
      <c r="AR74" s="1">
        <v>0</v>
      </c>
      <c r="AS74" s="1">
        <v>0</v>
      </c>
      <c r="AT74" s="1">
        <v>0</v>
      </c>
      <c r="AU74" s="1">
        <v>0</v>
      </c>
      <c r="AX74" s="1" t="s">
        <v>15</v>
      </c>
      <c r="AY74" s="1">
        <v>0</v>
      </c>
      <c r="AZ74" s="1">
        <v>0</v>
      </c>
      <c r="BA74" s="1">
        <v>0</v>
      </c>
      <c r="BB74" s="1">
        <v>0</v>
      </c>
      <c r="BE74" s="1" t="s">
        <v>15</v>
      </c>
      <c r="BF74" s="1">
        <v>0</v>
      </c>
      <c r="BG74" s="1">
        <v>0</v>
      </c>
      <c r="BH74" s="1">
        <v>0</v>
      </c>
      <c r="BI74" s="1">
        <v>0</v>
      </c>
    </row>
    <row r="75" spans="1:63" ht="13" x14ac:dyDescent="0.15">
      <c r="A75" s="1" t="s">
        <v>16</v>
      </c>
      <c r="B75" s="1">
        <v>0</v>
      </c>
      <c r="C75" s="1">
        <v>0</v>
      </c>
      <c r="D75" s="1">
        <v>0</v>
      </c>
      <c r="E75" s="1">
        <v>0</v>
      </c>
      <c r="H75" s="1" t="s">
        <v>16</v>
      </c>
      <c r="I75" s="1">
        <v>0</v>
      </c>
      <c r="J75" s="1">
        <v>0</v>
      </c>
      <c r="K75" s="1">
        <v>0</v>
      </c>
      <c r="L75" s="1">
        <v>0</v>
      </c>
      <c r="O75" s="1" t="s">
        <v>16</v>
      </c>
      <c r="P75" s="1">
        <v>0</v>
      </c>
      <c r="Q75" s="1">
        <v>0</v>
      </c>
      <c r="R75" s="1">
        <v>0</v>
      </c>
      <c r="S75" s="1">
        <v>0</v>
      </c>
      <c r="V75" s="1" t="s">
        <v>16</v>
      </c>
      <c r="W75" s="1">
        <v>0</v>
      </c>
      <c r="X75" s="1">
        <v>0</v>
      </c>
      <c r="Y75" s="1">
        <v>0</v>
      </c>
      <c r="Z75" s="1">
        <v>0</v>
      </c>
      <c r="AC75" s="1" t="s">
        <v>16</v>
      </c>
      <c r="AD75" s="1">
        <v>0</v>
      </c>
      <c r="AE75" s="1">
        <v>0</v>
      </c>
      <c r="AF75" s="1">
        <v>0</v>
      </c>
      <c r="AG75" s="1">
        <v>0</v>
      </c>
      <c r="AJ75" s="1" t="s">
        <v>16</v>
      </c>
      <c r="AK75" s="1">
        <v>0</v>
      </c>
      <c r="AL75" s="1">
        <v>0</v>
      </c>
      <c r="AM75" s="1">
        <v>0</v>
      </c>
      <c r="AN75" s="1">
        <v>0</v>
      </c>
      <c r="AQ75" s="1" t="s">
        <v>16</v>
      </c>
      <c r="AR75" s="1">
        <v>0</v>
      </c>
      <c r="AS75" s="1">
        <v>0</v>
      </c>
      <c r="AT75" s="1">
        <v>0</v>
      </c>
      <c r="AU75" s="1">
        <v>0</v>
      </c>
      <c r="AX75" s="1" t="s">
        <v>16</v>
      </c>
      <c r="AY75" s="1">
        <v>0</v>
      </c>
      <c r="AZ75" s="1">
        <v>0</v>
      </c>
      <c r="BA75" s="1">
        <v>0</v>
      </c>
      <c r="BB75" s="1">
        <v>0</v>
      </c>
      <c r="BE75" s="1" t="s">
        <v>16</v>
      </c>
      <c r="BF75" s="1">
        <v>0</v>
      </c>
      <c r="BG75" s="1">
        <v>0</v>
      </c>
      <c r="BH75" s="1">
        <v>0</v>
      </c>
      <c r="BI75" s="1">
        <v>0</v>
      </c>
    </row>
    <row r="76" spans="1:63" ht="13" x14ac:dyDescent="0.15">
      <c r="A76" s="1" t="s">
        <v>17</v>
      </c>
      <c r="B76" s="1">
        <v>2</v>
      </c>
      <c r="C76" s="1">
        <v>0</v>
      </c>
      <c r="D76" s="1">
        <v>0</v>
      </c>
      <c r="E76" s="1">
        <v>0</v>
      </c>
      <c r="H76" s="1" t="s">
        <v>17</v>
      </c>
      <c r="I76" s="1">
        <v>2</v>
      </c>
      <c r="J76" s="1">
        <v>0</v>
      </c>
      <c r="K76" s="1">
        <v>0</v>
      </c>
      <c r="L76" s="1">
        <v>0</v>
      </c>
      <c r="O76" s="1" t="s">
        <v>17</v>
      </c>
      <c r="P76" s="1">
        <v>2</v>
      </c>
      <c r="Q76" s="1">
        <v>0</v>
      </c>
      <c r="R76" s="1">
        <v>0</v>
      </c>
      <c r="S76" s="1">
        <v>0</v>
      </c>
      <c r="V76" s="1" t="s">
        <v>17</v>
      </c>
      <c r="W76" s="1">
        <v>2</v>
      </c>
      <c r="X76" s="1">
        <v>0</v>
      </c>
      <c r="Y76" s="1">
        <v>0</v>
      </c>
      <c r="Z76" s="1">
        <v>0</v>
      </c>
      <c r="AC76" s="1" t="s">
        <v>17</v>
      </c>
      <c r="AD76" s="1">
        <v>2</v>
      </c>
      <c r="AE76" s="1">
        <v>0</v>
      </c>
      <c r="AF76" s="1">
        <v>0</v>
      </c>
      <c r="AG76" s="1">
        <v>0</v>
      </c>
      <c r="AJ76" s="1" t="s">
        <v>17</v>
      </c>
      <c r="AK76" s="1">
        <v>2</v>
      </c>
      <c r="AL76" s="1">
        <v>0</v>
      </c>
      <c r="AM76" s="1">
        <v>0</v>
      </c>
      <c r="AN76" s="1">
        <v>0</v>
      </c>
      <c r="AQ76" s="1" t="s">
        <v>17</v>
      </c>
      <c r="AR76" s="1">
        <v>2</v>
      </c>
      <c r="AS76" s="1">
        <v>0</v>
      </c>
      <c r="AT76" s="1">
        <v>0</v>
      </c>
      <c r="AU76" s="1">
        <v>0</v>
      </c>
      <c r="AX76" s="1" t="s">
        <v>17</v>
      </c>
      <c r="AY76" s="1">
        <v>2</v>
      </c>
      <c r="AZ76" s="1">
        <v>0</v>
      </c>
      <c r="BA76" s="1">
        <v>0</v>
      </c>
      <c r="BB76" s="1">
        <v>0</v>
      </c>
      <c r="BE76" s="1" t="s">
        <v>17</v>
      </c>
      <c r="BF76" s="1">
        <v>2</v>
      </c>
      <c r="BG76" s="1">
        <v>0</v>
      </c>
      <c r="BH76" s="1">
        <v>0</v>
      </c>
      <c r="BI76" s="1">
        <v>0</v>
      </c>
    </row>
    <row r="77" spans="1:63" ht="13" x14ac:dyDescent="0.15">
      <c r="A77" s="1" t="s">
        <v>18</v>
      </c>
      <c r="B77" s="1">
        <v>0</v>
      </c>
      <c r="C77" s="1">
        <v>0</v>
      </c>
      <c r="D77" s="1">
        <v>0</v>
      </c>
      <c r="E77" s="1">
        <v>0</v>
      </c>
      <c r="H77" s="1" t="s">
        <v>18</v>
      </c>
      <c r="I77" s="1">
        <v>0</v>
      </c>
      <c r="J77" s="1">
        <v>0</v>
      </c>
      <c r="K77" s="1">
        <v>0</v>
      </c>
      <c r="L77" s="1">
        <v>0</v>
      </c>
      <c r="O77" s="1" t="s">
        <v>18</v>
      </c>
      <c r="P77" s="1">
        <v>0</v>
      </c>
      <c r="Q77" s="1">
        <v>0</v>
      </c>
      <c r="R77" s="1">
        <v>0</v>
      </c>
      <c r="S77" s="1">
        <v>0</v>
      </c>
      <c r="V77" s="1" t="s">
        <v>18</v>
      </c>
      <c r="W77" s="1">
        <v>0</v>
      </c>
      <c r="X77" s="1">
        <v>0</v>
      </c>
      <c r="Y77" s="1">
        <v>0</v>
      </c>
      <c r="Z77" s="1">
        <v>0</v>
      </c>
      <c r="AC77" s="1" t="s">
        <v>18</v>
      </c>
      <c r="AD77" s="1">
        <v>0</v>
      </c>
      <c r="AE77" s="1">
        <v>0</v>
      </c>
      <c r="AF77" s="1">
        <v>0</v>
      </c>
      <c r="AG77" s="1">
        <v>0</v>
      </c>
      <c r="AJ77" s="1" t="s">
        <v>18</v>
      </c>
      <c r="AK77" s="1">
        <v>0</v>
      </c>
      <c r="AL77" s="1">
        <v>0</v>
      </c>
      <c r="AM77" s="1">
        <v>0</v>
      </c>
      <c r="AN77" s="1">
        <v>0</v>
      </c>
      <c r="AQ77" s="1" t="s">
        <v>18</v>
      </c>
      <c r="AR77" s="1">
        <v>0</v>
      </c>
      <c r="AS77" s="1">
        <v>0</v>
      </c>
      <c r="AT77" s="1">
        <v>0</v>
      </c>
      <c r="AU77" s="1">
        <v>0</v>
      </c>
      <c r="AX77" s="1" t="s">
        <v>18</v>
      </c>
      <c r="AY77" s="1">
        <v>0</v>
      </c>
      <c r="AZ77" s="1">
        <v>0</v>
      </c>
      <c r="BA77" s="1">
        <v>0</v>
      </c>
      <c r="BB77" s="1">
        <v>0</v>
      </c>
      <c r="BE77" s="1" t="s">
        <v>18</v>
      </c>
      <c r="BF77" s="1">
        <v>0</v>
      </c>
      <c r="BG77" s="1">
        <v>0</v>
      </c>
      <c r="BH77" s="1">
        <v>0</v>
      </c>
      <c r="BI77" s="1">
        <v>0</v>
      </c>
    </row>
    <row r="78" spans="1:63" ht="13" x14ac:dyDescent="0.15">
      <c r="A78" s="1" t="s">
        <v>19</v>
      </c>
      <c r="B78" s="1">
        <v>0</v>
      </c>
      <c r="C78" s="1">
        <v>0</v>
      </c>
      <c r="D78" s="1">
        <v>0</v>
      </c>
      <c r="E78" s="1">
        <v>0</v>
      </c>
      <c r="H78" s="1" t="s">
        <v>19</v>
      </c>
      <c r="I78" s="1">
        <v>0</v>
      </c>
      <c r="J78" s="1">
        <v>0</v>
      </c>
      <c r="K78" s="1">
        <v>0</v>
      </c>
      <c r="L78" s="1">
        <v>0</v>
      </c>
      <c r="O78" s="1" t="s">
        <v>19</v>
      </c>
      <c r="P78" s="1">
        <v>0</v>
      </c>
      <c r="Q78" s="1">
        <v>0</v>
      </c>
      <c r="R78" s="1">
        <v>0</v>
      </c>
      <c r="S78" s="1">
        <v>0</v>
      </c>
      <c r="V78" s="1" t="s">
        <v>19</v>
      </c>
      <c r="W78" s="1">
        <v>0</v>
      </c>
      <c r="X78" s="1">
        <v>0</v>
      </c>
      <c r="Y78" s="1">
        <v>0</v>
      </c>
      <c r="Z78" s="1">
        <v>0</v>
      </c>
      <c r="AC78" s="1" t="s">
        <v>19</v>
      </c>
      <c r="AD78" s="1">
        <v>0</v>
      </c>
      <c r="AE78" s="1">
        <v>0</v>
      </c>
      <c r="AF78" s="1">
        <v>0</v>
      </c>
      <c r="AG78" s="1">
        <v>0</v>
      </c>
      <c r="AJ78" s="1" t="s">
        <v>19</v>
      </c>
      <c r="AK78" s="1">
        <v>0</v>
      </c>
      <c r="AL78" s="1">
        <v>0</v>
      </c>
      <c r="AM78" s="1">
        <v>0</v>
      </c>
      <c r="AN78" s="1">
        <v>0</v>
      </c>
      <c r="AQ78" s="1" t="s">
        <v>19</v>
      </c>
      <c r="AR78" s="1">
        <v>0</v>
      </c>
      <c r="AS78" s="1">
        <v>0</v>
      </c>
      <c r="AT78" s="1">
        <v>0</v>
      </c>
      <c r="AU78" s="1">
        <v>0</v>
      </c>
      <c r="AX78" s="1" t="s">
        <v>19</v>
      </c>
      <c r="AY78" s="1">
        <v>0</v>
      </c>
      <c r="AZ78" s="1">
        <v>0</v>
      </c>
      <c r="BA78" s="1">
        <v>0</v>
      </c>
      <c r="BB78" s="1">
        <v>0</v>
      </c>
      <c r="BE78" s="1" t="s">
        <v>19</v>
      </c>
      <c r="BF78" s="1">
        <v>0</v>
      </c>
      <c r="BG78" s="1">
        <v>0</v>
      </c>
      <c r="BH78" s="1">
        <v>0</v>
      </c>
      <c r="BI78" s="1">
        <v>0</v>
      </c>
    </row>
    <row r="79" spans="1:63" ht="13" x14ac:dyDescent="0.15">
      <c r="A79" s="1" t="s">
        <v>10</v>
      </c>
      <c r="B79" s="1">
        <v>21</v>
      </c>
      <c r="C79" s="1">
        <v>16</v>
      </c>
      <c r="D79" s="1">
        <v>18</v>
      </c>
      <c r="E79" s="1">
        <v>15</v>
      </c>
      <c r="H79" s="1" t="s">
        <v>10</v>
      </c>
      <c r="I79" s="1">
        <v>21</v>
      </c>
      <c r="J79" s="1">
        <v>2</v>
      </c>
      <c r="K79" s="1">
        <v>2</v>
      </c>
      <c r="L79" s="1">
        <v>1</v>
      </c>
      <c r="O79" s="1" t="s">
        <v>10</v>
      </c>
      <c r="P79" s="1">
        <v>21</v>
      </c>
      <c r="Q79" s="1">
        <v>15</v>
      </c>
      <c r="R79" s="1">
        <v>18</v>
      </c>
      <c r="S79" s="1">
        <v>14</v>
      </c>
      <c r="V79" s="1" t="s">
        <v>10</v>
      </c>
      <c r="W79" s="1">
        <v>21</v>
      </c>
      <c r="X79" s="1">
        <v>0</v>
      </c>
      <c r="Y79" s="1">
        <v>3</v>
      </c>
      <c r="Z79" s="1">
        <v>0</v>
      </c>
      <c r="AC79" s="1" t="s">
        <v>10</v>
      </c>
      <c r="AD79" s="1">
        <v>21</v>
      </c>
      <c r="AE79" s="1">
        <v>0</v>
      </c>
      <c r="AF79" s="1">
        <v>2</v>
      </c>
      <c r="AG79" s="1">
        <v>0</v>
      </c>
      <c r="AJ79" s="1" t="s">
        <v>10</v>
      </c>
      <c r="AK79" s="1">
        <v>21</v>
      </c>
      <c r="AL79" s="1">
        <v>2</v>
      </c>
      <c r="AM79" s="1">
        <v>1</v>
      </c>
      <c r="AN79" s="1">
        <v>0</v>
      </c>
      <c r="AQ79" s="1" t="s">
        <v>10</v>
      </c>
      <c r="AR79" s="1">
        <v>21</v>
      </c>
      <c r="AS79" s="1">
        <v>0</v>
      </c>
      <c r="AT79" s="1">
        <v>1</v>
      </c>
      <c r="AU79" s="1">
        <v>0</v>
      </c>
      <c r="AX79" s="1" t="s">
        <v>10</v>
      </c>
      <c r="AY79" s="1">
        <v>21</v>
      </c>
      <c r="AZ79" s="1">
        <v>0</v>
      </c>
      <c r="BA79" s="1">
        <v>0</v>
      </c>
      <c r="BB79" s="1">
        <v>0</v>
      </c>
      <c r="BE79" s="1" t="s">
        <v>10</v>
      </c>
      <c r="BF79" s="1">
        <v>21</v>
      </c>
      <c r="BG79" s="1">
        <v>0</v>
      </c>
      <c r="BH79" s="1">
        <v>0</v>
      </c>
      <c r="BI79" s="1">
        <v>0</v>
      </c>
    </row>
    <row r="81" spans="1:63" ht="13" x14ac:dyDescent="0.15">
      <c r="A81" s="1" t="s">
        <v>10</v>
      </c>
      <c r="B81" s="1" t="s">
        <v>14</v>
      </c>
      <c r="C81" s="1" t="s">
        <v>15</v>
      </c>
      <c r="D81" s="1" t="s">
        <v>16</v>
      </c>
      <c r="E81" s="1" t="s">
        <v>17</v>
      </c>
      <c r="F81" s="1" t="s">
        <v>18</v>
      </c>
      <c r="G81" s="1" t="s">
        <v>19</v>
      </c>
      <c r="H81" s="1" t="s">
        <v>10</v>
      </c>
      <c r="I81" s="1" t="s">
        <v>14</v>
      </c>
      <c r="J81" s="1" t="s">
        <v>15</v>
      </c>
      <c r="K81" s="1" t="s">
        <v>16</v>
      </c>
      <c r="L81" s="1" t="s">
        <v>17</v>
      </c>
      <c r="M81" s="1" t="s">
        <v>18</v>
      </c>
      <c r="N81" s="1" t="s">
        <v>19</v>
      </c>
      <c r="O81" s="1" t="s">
        <v>10</v>
      </c>
      <c r="P81" s="1" t="s">
        <v>14</v>
      </c>
      <c r="Q81" s="1" t="s">
        <v>15</v>
      </c>
      <c r="R81" s="1" t="s">
        <v>16</v>
      </c>
      <c r="S81" s="1" t="s">
        <v>17</v>
      </c>
      <c r="T81" s="1" t="s">
        <v>18</v>
      </c>
      <c r="U81" s="1" t="s">
        <v>19</v>
      </c>
      <c r="V81" s="1" t="s">
        <v>10</v>
      </c>
      <c r="W81" s="1" t="s">
        <v>14</v>
      </c>
      <c r="X81" s="1" t="s">
        <v>15</v>
      </c>
      <c r="Y81" s="1" t="s">
        <v>16</v>
      </c>
      <c r="Z81" s="1" t="s">
        <v>17</v>
      </c>
      <c r="AA81" s="1" t="s">
        <v>18</v>
      </c>
      <c r="AB81" s="1" t="s">
        <v>19</v>
      </c>
      <c r="AC81" s="1" t="s">
        <v>10</v>
      </c>
      <c r="AD81" s="1" t="s">
        <v>14</v>
      </c>
      <c r="AE81" s="1" t="s">
        <v>15</v>
      </c>
      <c r="AF81" s="1" t="s">
        <v>16</v>
      </c>
      <c r="AG81" s="1" t="s">
        <v>17</v>
      </c>
      <c r="AH81" s="1" t="s">
        <v>18</v>
      </c>
      <c r="AI81" s="1" t="s">
        <v>19</v>
      </c>
      <c r="AJ81" s="1" t="s">
        <v>10</v>
      </c>
      <c r="AK81" s="1" t="s">
        <v>14</v>
      </c>
      <c r="AL81" s="1" t="s">
        <v>15</v>
      </c>
      <c r="AM81" s="1" t="s">
        <v>16</v>
      </c>
      <c r="AN81" s="1" t="s">
        <v>17</v>
      </c>
      <c r="AO81" s="1" t="s">
        <v>18</v>
      </c>
      <c r="AP81" s="1" t="s">
        <v>19</v>
      </c>
      <c r="AQ81" s="1" t="s">
        <v>10</v>
      </c>
      <c r="AR81" s="1" t="s">
        <v>14</v>
      </c>
      <c r="AS81" s="1" t="s">
        <v>15</v>
      </c>
      <c r="AT81" s="1" t="s">
        <v>16</v>
      </c>
      <c r="AU81" s="1" t="s">
        <v>17</v>
      </c>
      <c r="AV81" s="1" t="s">
        <v>18</v>
      </c>
      <c r="AW81" s="1" t="s">
        <v>19</v>
      </c>
      <c r="AX81" s="1" t="s">
        <v>10</v>
      </c>
      <c r="AY81" s="1" t="s">
        <v>14</v>
      </c>
      <c r="AZ81" s="1" t="s">
        <v>15</v>
      </c>
      <c r="BA81" s="1" t="s">
        <v>16</v>
      </c>
      <c r="BB81" s="1" t="s">
        <v>17</v>
      </c>
      <c r="BC81" s="1" t="s">
        <v>18</v>
      </c>
      <c r="BD81" s="1" t="s">
        <v>19</v>
      </c>
      <c r="BE81" s="1" t="s">
        <v>10</v>
      </c>
      <c r="BF81" s="1" t="s">
        <v>14</v>
      </c>
      <c r="BG81" s="1" t="s">
        <v>15</v>
      </c>
      <c r="BH81" s="1" t="s">
        <v>16</v>
      </c>
      <c r="BI81" s="1" t="s">
        <v>17</v>
      </c>
      <c r="BJ81" s="1" t="s">
        <v>18</v>
      </c>
      <c r="BK81" s="1" t="s">
        <v>19</v>
      </c>
    </row>
    <row r="82" spans="1:63" ht="13" x14ac:dyDescent="0.15">
      <c r="A82" s="3">
        <v>15</v>
      </c>
      <c r="B82" s="1">
        <v>15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1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14</v>
      </c>
      <c r="P82" s="1">
        <v>14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</row>
    <row r="84" spans="1:63" ht="13" x14ac:dyDescent="0.15">
      <c r="A84" s="1" t="s">
        <v>25</v>
      </c>
    </row>
    <row r="85" spans="1:63" ht="13" x14ac:dyDescent="0.15">
      <c r="A85" s="1" t="s">
        <v>9</v>
      </c>
      <c r="B85" s="1" t="s">
        <v>10</v>
      </c>
      <c r="C85" s="1" t="s">
        <v>11</v>
      </c>
      <c r="D85" s="1" t="s">
        <v>12</v>
      </c>
      <c r="E85" s="1" t="s">
        <v>13</v>
      </c>
      <c r="H85" s="1" t="s">
        <v>9</v>
      </c>
      <c r="I85" s="1" t="s">
        <v>10</v>
      </c>
      <c r="J85" s="1" t="s">
        <v>11</v>
      </c>
      <c r="K85" s="1" t="s">
        <v>12</v>
      </c>
      <c r="L85" s="1" t="s">
        <v>13</v>
      </c>
      <c r="O85" s="1" t="s">
        <v>9</v>
      </c>
      <c r="P85" s="1" t="s">
        <v>10</v>
      </c>
      <c r="Q85" s="1" t="s">
        <v>11</v>
      </c>
      <c r="R85" s="1" t="s">
        <v>12</v>
      </c>
      <c r="S85" s="1" t="s">
        <v>13</v>
      </c>
      <c r="V85" s="1" t="s">
        <v>9</v>
      </c>
      <c r="W85" s="1" t="s">
        <v>10</v>
      </c>
      <c r="X85" s="1" t="s">
        <v>11</v>
      </c>
      <c r="Y85" s="1" t="s">
        <v>12</v>
      </c>
      <c r="Z85" s="1" t="s">
        <v>13</v>
      </c>
      <c r="AC85" s="1" t="s">
        <v>9</v>
      </c>
      <c r="AD85" s="1" t="s">
        <v>10</v>
      </c>
      <c r="AE85" s="1" t="s">
        <v>11</v>
      </c>
      <c r="AF85" s="1" t="s">
        <v>12</v>
      </c>
      <c r="AG85" s="1" t="s">
        <v>13</v>
      </c>
      <c r="AJ85" s="1" t="s">
        <v>9</v>
      </c>
      <c r="AK85" s="1" t="s">
        <v>10</v>
      </c>
      <c r="AL85" s="1" t="s">
        <v>11</v>
      </c>
      <c r="AM85" s="1" t="s">
        <v>12</v>
      </c>
      <c r="AN85" s="1" t="s">
        <v>13</v>
      </c>
      <c r="AQ85" s="1" t="s">
        <v>9</v>
      </c>
      <c r="AR85" s="1" t="s">
        <v>10</v>
      </c>
      <c r="AS85" s="1" t="s">
        <v>11</v>
      </c>
      <c r="AT85" s="1" t="s">
        <v>12</v>
      </c>
      <c r="AU85" s="1" t="s">
        <v>13</v>
      </c>
      <c r="AX85" s="1" t="s">
        <v>9</v>
      </c>
      <c r="AY85" s="1" t="s">
        <v>10</v>
      </c>
      <c r="AZ85" s="1" t="s">
        <v>11</v>
      </c>
      <c r="BA85" s="1" t="s">
        <v>12</v>
      </c>
      <c r="BB85" s="1" t="s">
        <v>13</v>
      </c>
      <c r="BE85" s="1" t="s">
        <v>9</v>
      </c>
      <c r="BF85" s="1" t="s">
        <v>10</v>
      </c>
      <c r="BG85" s="1" t="s">
        <v>11</v>
      </c>
      <c r="BH85" s="1" t="s">
        <v>12</v>
      </c>
      <c r="BI85" s="1" t="s">
        <v>13</v>
      </c>
    </row>
    <row r="86" spans="1:63" ht="13" x14ac:dyDescent="0.15">
      <c r="A86" s="1" t="s">
        <v>14</v>
      </c>
      <c r="B86" s="1">
        <v>2</v>
      </c>
      <c r="C86" s="1">
        <v>2</v>
      </c>
      <c r="D86" s="1">
        <v>2</v>
      </c>
      <c r="E86" s="1">
        <v>2</v>
      </c>
      <c r="H86" s="1" t="s">
        <v>14</v>
      </c>
      <c r="I86" s="1">
        <v>2</v>
      </c>
      <c r="J86" s="1">
        <v>2</v>
      </c>
      <c r="K86" s="1">
        <v>0</v>
      </c>
      <c r="L86" s="1">
        <v>0</v>
      </c>
      <c r="O86" s="1" t="s">
        <v>14</v>
      </c>
      <c r="P86" s="1">
        <v>2</v>
      </c>
      <c r="Q86" s="1">
        <v>2</v>
      </c>
      <c r="R86" s="1">
        <v>2</v>
      </c>
      <c r="S86" s="1">
        <v>2</v>
      </c>
      <c r="V86" s="1" t="s">
        <v>14</v>
      </c>
      <c r="W86" s="1">
        <v>2</v>
      </c>
      <c r="X86" s="1">
        <v>0</v>
      </c>
      <c r="Y86" s="1">
        <v>0</v>
      </c>
      <c r="Z86" s="1">
        <v>0</v>
      </c>
      <c r="AC86" s="1" t="s">
        <v>14</v>
      </c>
      <c r="AD86" s="1">
        <v>2</v>
      </c>
      <c r="AE86" s="1">
        <v>0</v>
      </c>
      <c r="AF86" s="1">
        <v>2</v>
      </c>
      <c r="AG86" s="1">
        <v>0</v>
      </c>
      <c r="AJ86" s="1" t="s">
        <v>14</v>
      </c>
      <c r="AK86" s="1">
        <v>2</v>
      </c>
      <c r="AL86" s="1">
        <v>0</v>
      </c>
      <c r="AM86" s="1">
        <v>2</v>
      </c>
      <c r="AN86" s="1">
        <v>0</v>
      </c>
      <c r="AQ86" s="1" t="s">
        <v>14</v>
      </c>
      <c r="AR86" s="1">
        <v>2</v>
      </c>
      <c r="AS86" s="1">
        <v>0</v>
      </c>
      <c r="AT86" s="1">
        <v>2</v>
      </c>
      <c r="AU86" s="1">
        <v>0</v>
      </c>
      <c r="AX86" s="1" t="s">
        <v>14</v>
      </c>
      <c r="AY86" s="1">
        <v>2</v>
      </c>
      <c r="AZ86" s="1">
        <v>0</v>
      </c>
      <c r="BA86" s="1">
        <v>0</v>
      </c>
      <c r="BB86" s="1">
        <v>0</v>
      </c>
      <c r="BE86" s="1" t="s">
        <v>14</v>
      </c>
      <c r="BF86" s="1">
        <v>2</v>
      </c>
      <c r="BG86" s="1">
        <v>0</v>
      </c>
      <c r="BH86" s="1">
        <v>0</v>
      </c>
      <c r="BI86" s="1">
        <v>0</v>
      </c>
    </row>
    <row r="87" spans="1:63" ht="13" x14ac:dyDescent="0.15">
      <c r="A87" s="1" t="s">
        <v>15</v>
      </c>
      <c r="B87" s="1">
        <v>0</v>
      </c>
      <c r="C87" s="1">
        <v>0</v>
      </c>
      <c r="D87" s="1">
        <v>0</v>
      </c>
      <c r="E87" s="1">
        <v>0</v>
      </c>
      <c r="H87" s="1" t="s">
        <v>15</v>
      </c>
      <c r="I87" s="1">
        <v>0</v>
      </c>
      <c r="J87" s="1">
        <v>0</v>
      </c>
      <c r="K87" s="1">
        <v>0</v>
      </c>
      <c r="L87" s="1">
        <v>0</v>
      </c>
      <c r="O87" s="1" t="s">
        <v>15</v>
      </c>
      <c r="P87" s="1">
        <v>0</v>
      </c>
      <c r="Q87" s="1">
        <v>0</v>
      </c>
      <c r="R87" s="1">
        <v>0</v>
      </c>
      <c r="S87" s="1">
        <v>0</v>
      </c>
      <c r="V87" s="1" t="s">
        <v>15</v>
      </c>
      <c r="W87" s="1">
        <v>0</v>
      </c>
      <c r="X87" s="1">
        <v>0</v>
      </c>
      <c r="Y87" s="1">
        <v>0</v>
      </c>
      <c r="Z87" s="1">
        <v>0</v>
      </c>
      <c r="AC87" s="1" t="s">
        <v>15</v>
      </c>
      <c r="AD87" s="1">
        <v>0</v>
      </c>
      <c r="AE87" s="1">
        <v>0</v>
      </c>
      <c r="AF87" s="1">
        <v>0</v>
      </c>
      <c r="AG87" s="1">
        <v>0</v>
      </c>
      <c r="AJ87" s="1" t="s">
        <v>15</v>
      </c>
      <c r="AK87" s="1">
        <v>0</v>
      </c>
      <c r="AL87" s="1">
        <v>0</v>
      </c>
      <c r="AM87" s="1">
        <v>0</v>
      </c>
      <c r="AN87" s="1">
        <v>0</v>
      </c>
      <c r="AQ87" s="1" t="s">
        <v>15</v>
      </c>
      <c r="AR87" s="1">
        <v>0</v>
      </c>
      <c r="AS87" s="1">
        <v>0</v>
      </c>
      <c r="AT87" s="1">
        <v>0</v>
      </c>
      <c r="AU87" s="1">
        <v>0</v>
      </c>
      <c r="AX87" s="1" t="s">
        <v>15</v>
      </c>
      <c r="AY87" s="1">
        <v>0</v>
      </c>
      <c r="AZ87" s="1">
        <v>0</v>
      </c>
      <c r="BA87" s="1">
        <v>0</v>
      </c>
      <c r="BB87" s="1">
        <v>0</v>
      </c>
      <c r="BE87" s="1" t="s">
        <v>15</v>
      </c>
      <c r="BF87" s="1">
        <v>0</v>
      </c>
      <c r="BG87" s="1">
        <v>0</v>
      </c>
      <c r="BH87" s="1">
        <v>0</v>
      </c>
      <c r="BI87" s="1">
        <v>0</v>
      </c>
    </row>
    <row r="88" spans="1:63" ht="13" x14ac:dyDescent="0.15">
      <c r="A88" s="1" t="s">
        <v>16</v>
      </c>
      <c r="B88" s="1">
        <v>0</v>
      </c>
      <c r="C88" s="1">
        <v>0</v>
      </c>
      <c r="D88" s="1">
        <v>0</v>
      </c>
      <c r="E88" s="1">
        <v>0</v>
      </c>
      <c r="H88" s="1" t="s">
        <v>16</v>
      </c>
      <c r="I88" s="1">
        <v>0</v>
      </c>
      <c r="J88" s="1">
        <v>0</v>
      </c>
      <c r="K88" s="1">
        <v>0</v>
      </c>
      <c r="L88" s="1">
        <v>0</v>
      </c>
      <c r="O88" s="1" t="s">
        <v>16</v>
      </c>
      <c r="P88" s="1">
        <v>0</v>
      </c>
      <c r="Q88" s="1">
        <v>0</v>
      </c>
      <c r="R88" s="1">
        <v>0</v>
      </c>
      <c r="S88" s="1">
        <v>0</v>
      </c>
      <c r="V88" s="1" t="s">
        <v>16</v>
      </c>
      <c r="W88" s="1">
        <v>0</v>
      </c>
      <c r="X88" s="1">
        <v>0</v>
      </c>
      <c r="Y88" s="1">
        <v>0</v>
      </c>
      <c r="Z88" s="1">
        <v>0</v>
      </c>
      <c r="AC88" s="1" t="s">
        <v>16</v>
      </c>
      <c r="AD88" s="1">
        <v>0</v>
      </c>
      <c r="AE88" s="1">
        <v>0</v>
      </c>
      <c r="AF88" s="1">
        <v>0</v>
      </c>
      <c r="AG88" s="1">
        <v>0</v>
      </c>
      <c r="AJ88" s="1" t="s">
        <v>16</v>
      </c>
      <c r="AK88" s="1">
        <v>0</v>
      </c>
      <c r="AL88" s="1">
        <v>0</v>
      </c>
      <c r="AM88" s="1">
        <v>0</v>
      </c>
      <c r="AN88" s="1">
        <v>0</v>
      </c>
      <c r="AQ88" s="1" t="s">
        <v>16</v>
      </c>
      <c r="AR88" s="1">
        <v>0</v>
      </c>
      <c r="AS88" s="1">
        <v>0</v>
      </c>
      <c r="AT88" s="1">
        <v>0</v>
      </c>
      <c r="AU88" s="1">
        <v>0</v>
      </c>
      <c r="AX88" s="1" t="s">
        <v>16</v>
      </c>
      <c r="AY88" s="1">
        <v>0</v>
      </c>
      <c r="AZ88" s="1">
        <v>0</v>
      </c>
      <c r="BA88" s="1">
        <v>0</v>
      </c>
      <c r="BB88" s="1">
        <v>0</v>
      </c>
      <c r="BE88" s="1" t="s">
        <v>16</v>
      </c>
      <c r="BF88" s="1">
        <v>0</v>
      </c>
      <c r="BG88" s="1">
        <v>0</v>
      </c>
      <c r="BH88" s="1">
        <v>0</v>
      </c>
      <c r="BI88" s="1">
        <v>0</v>
      </c>
    </row>
    <row r="89" spans="1:63" ht="13" x14ac:dyDescent="0.15">
      <c r="A89" s="1" t="s">
        <v>17</v>
      </c>
      <c r="B89" s="1">
        <v>0</v>
      </c>
      <c r="C89" s="1">
        <v>0</v>
      </c>
      <c r="D89" s="1">
        <v>0</v>
      </c>
      <c r="E89" s="1">
        <v>0</v>
      </c>
      <c r="H89" s="1" t="s">
        <v>17</v>
      </c>
      <c r="I89" s="1">
        <v>0</v>
      </c>
      <c r="J89" s="1">
        <v>0</v>
      </c>
      <c r="K89" s="1">
        <v>0</v>
      </c>
      <c r="L89" s="1">
        <v>0</v>
      </c>
      <c r="O89" s="1" t="s">
        <v>17</v>
      </c>
      <c r="P89" s="1">
        <v>0</v>
      </c>
      <c r="Q89" s="1">
        <v>0</v>
      </c>
      <c r="R89" s="1">
        <v>0</v>
      </c>
      <c r="S89" s="1">
        <v>0</v>
      </c>
      <c r="V89" s="1" t="s">
        <v>17</v>
      </c>
      <c r="W89" s="1">
        <v>0</v>
      </c>
      <c r="X89" s="1">
        <v>0</v>
      </c>
      <c r="Y89" s="1">
        <v>0</v>
      </c>
      <c r="Z89" s="1">
        <v>0</v>
      </c>
      <c r="AC89" s="1" t="s">
        <v>17</v>
      </c>
      <c r="AD89" s="1">
        <v>0</v>
      </c>
      <c r="AE89" s="1">
        <v>0</v>
      </c>
      <c r="AF89" s="1">
        <v>0</v>
      </c>
      <c r="AG89" s="1">
        <v>0</v>
      </c>
      <c r="AJ89" s="1" t="s">
        <v>17</v>
      </c>
      <c r="AK89" s="1">
        <v>0</v>
      </c>
      <c r="AL89" s="1">
        <v>0</v>
      </c>
      <c r="AM89" s="1">
        <v>0</v>
      </c>
      <c r="AN89" s="1">
        <v>0</v>
      </c>
      <c r="AQ89" s="1" t="s">
        <v>17</v>
      </c>
      <c r="AR89" s="1">
        <v>0</v>
      </c>
      <c r="AS89" s="1">
        <v>0</v>
      </c>
      <c r="AT89" s="1">
        <v>0</v>
      </c>
      <c r="AU89" s="1">
        <v>0</v>
      </c>
      <c r="AX89" s="1" t="s">
        <v>17</v>
      </c>
      <c r="AY89" s="1">
        <v>0</v>
      </c>
      <c r="AZ89" s="1">
        <v>0</v>
      </c>
      <c r="BA89" s="1">
        <v>0</v>
      </c>
      <c r="BB89" s="1">
        <v>0</v>
      </c>
      <c r="BE89" s="1" t="s">
        <v>17</v>
      </c>
      <c r="BF89" s="1">
        <v>0</v>
      </c>
      <c r="BG89" s="1">
        <v>0</v>
      </c>
      <c r="BH89" s="1">
        <v>0</v>
      </c>
      <c r="BI89" s="1">
        <v>0</v>
      </c>
    </row>
    <row r="90" spans="1:63" ht="13" x14ac:dyDescent="0.15">
      <c r="A90" s="1" t="s">
        <v>18</v>
      </c>
      <c r="B90" s="1">
        <v>0</v>
      </c>
      <c r="C90" s="1">
        <v>0</v>
      </c>
      <c r="D90" s="1">
        <v>0</v>
      </c>
      <c r="E90" s="1">
        <v>0</v>
      </c>
      <c r="H90" s="1" t="s">
        <v>18</v>
      </c>
      <c r="I90" s="1">
        <v>0</v>
      </c>
      <c r="J90" s="1">
        <v>0</v>
      </c>
      <c r="K90" s="1">
        <v>0</v>
      </c>
      <c r="L90" s="1">
        <v>0</v>
      </c>
      <c r="O90" s="1" t="s">
        <v>18</v>
      </c>
      <c r="P90" s="1">
        <v>0</v>
      </c>
      <c r="Q90" s="1">
        <v>0</v>
      </c>
      <c r="R90" s="1">
        <v>0</v>
      </c>
      <c r="S90" s="1">
        <v>0</v>
      </c>
      <c r="V90" s="1" t="s">
        <v>18</v>
      </c>
      <c r="W90" s="1">
        <v>0</v>
      </c>
      <c r="X90" s="1">
        <v>0</v>
      </c>
      <c r="Y90" s="1">
        <v>0</v>
      </c>
      <c r="Z90" s="1">
        <v>0</v>
      </c>
      <c r="AC90" s="1" t="s">
        <v>18</v>
      </c>
      <c r="AD90" s="1">
        <v>0</v>
      </c>
      <c r="AE90" s="1">
        <v>0</v>
      </c>
      <c r="AF90" s="1">
        <v>0</v>
      </c>
      <c r="AG90" s="1">
        <v>0</v>
      </c>
      <c r="AJ90" s="1" t="s">
        <v>18</v>
      </c>
      <c r="AK90" s="1">
        <v>0</v>
      </c>
      <c r="AL90" s="1">
        <v>0</v>
      </c>
      <c r="AM90" s="1">
        <v>0</v>
      </c>
      <c r="AN90" s="1">
        <v>0</v>
      </c>
      <c r="AQ90" s="1" t="s">
        <v>18</v>
      </c>
      <c r="AR90" s="1">
        <v>0</v>
      </c>
      <c r="AS90" s="1">
        <v>0</v>
      </c>
      <c r="AT90" s="1">
        <v>0</v>
      </c>
      <c r="AU90" s="1">
        <v>0</v>
      </c>
      <c r="AX90" s="1" t="s">
        <v>18</v>
      </c>
      <c r="AY90" s="1">
        <v>0</v>
      </c>
      <c r="AZ90" s="1">
        <v>0</v>
      </c>
      <c r="BA90" s="1">
        <v>0</v>
      </c>
      <c r="BB90" s="1">
        <v>0</v>
      </c>
      <c r="BE90" s="1" t="s">
        <v>18</v>
      </c>
      <c r="BF90" s="1">
        <v>0</v>
      </c>
      <c r="BG90" s="1">
        <v>0</v>
      </c>
      <c r="BH90" s="1">
        <v>0</v>
      </c>
      <c r="BI90" s="1">
        <v>0</v>
      </c>
    </row>
    <row r="91" spans="1:63" ht="13" x14ac:dyDescent="0.15">
      <c r="A91" s="1" t="s">
        <v>19</v>
      </c>
      <c r="B91" s="1">
        <v>0</v>
      </c>
      <c r="C91" s="1">
        <v>0</v>
      </c>
      <c r="D91" s="1">
        <v>0</v>
      </c>
      <c r="E91" s="1">
        <v>0</v>
      </c>
      <c r="H91" s="1" t="s">
        <v>19</v>
      </c>
      <c r="I91" s="1">
        <v>0</v>
      </c>
      <c r="J91" s="1">
        <v>0</v>
      </c>
      <c r="K91" s="1">
        <v>0</v>
      </c>
      <c r="L91" s="1">
        <v>0</v>
      </c>
      <c r="O91" s="1" t="s">
        <v>19</v>
      </c>
      <c r="P91" s="1">
        <v>0</v>
      </c>
      <c r="Q91" s="1">
        <v>0</v>
      </c>
      <c r="R91" s="1">
        <v>0</v>
      </c>
      <c r="S91" s="1">
        <v>0</v>
      </c>
      <c r="V91" s="1" t="s">
        <v>19</v>
      </c>
      <c r="W91" s="1">
        <v>0</v>
      </c>
      <c r="X91" s="1">
        <v>0</v>
      </c>
      <c r="Y91" s="1">
        <v>0</v>
      </c>
      <c r="Z91" s="1">
        <v>0</v>
      </c>
      <c r="AC91" s="1" t="s">
        <v>19</v>
      </c>
      <c r="AD91" s="1">
        <v>0</v>
      </c>
      <c r="AE91" s="1">
        <v>0</v>
      </c>
      <c r="AF91" s="1">
        <v>0</v>
      </c>
      <c r="AG91" s="1">
        <v>0</v>
      </c>
      <c r="AJ91" s="1" t="s">
        <v>19</v>
      </c>
      <c r="AK91" s="1">
        <v>0</v>
      </c>
      <c r="AL91" s="1">
        <v>0</v>
      </c>
      <c r="AM91" s="1">
        <v>0</v>
      </c>
      <c r="AN91" s="1">
        <v>0</v>
      </c>
      <c r="AQ91" s="1" t="s">
        <v>19</v>
      </c>
      <c r="AR91" s="1">
        <v>0</v>
      </c>
      <c r="AS91" s="1">
        <v>0</v>
      </c>
      <c r="AT91" s="1">
        <v>0</v>
      </c>
      <c r="AU91" s="1">
        <v>0</v>
      </c>
      <c r="AX91" s="1" t="s">
        <v>19</v>
      </c>
      <c r="AY91" s="1">
        <v>0</v>
      </c>
      <c r="AZ91" s="1">
        <v>0</v>
      </c>
      <c r="BA91" s="1">
        <v>0</v>
      </c>
      <c r="BB91" s="1">
        <v>0</v>
      </c>
      <c r="BE91" s="1" t="s">
        <v>19</v>
      </c>
      <c r="BF91" s="1">
        <v>0</v>
      </c>
      <c r="BG91" s="1">
        <v>0</v>
      </c>
      <c r="BH91" s="1">
        <v>0</v>
      </c>
      <c r="BI91" s="1">
        <v>0</v>
      </c>
    </row>
    <row r="92" spans="1:63" ht="13" x14ac:dyDescent="0.15">
      <c r="A92" s="1" t="s">
        <v>10</v>
      </c>
      <c r="B92" s="1">
        <v>2</v>
      </c>
      <c r="C92" s="1">
        <v>2</v>
      </c>
      <c r="D92" s="1">
        <v>2</v>
      </c>
      <c r="E92" s="1">
        <v>2</v>
      </c>
      <c r="H92" s="1" t="s">
        <v>10</v>
      </c>
      <c r="I92" s="1">
        <v>2</v>
      </c>
      <c r="J92" s="1">
        <v>2</v>
      </c>
      <c r="K92" s="1">
        <v>0</v>
      </c>
      <c r="L92" s="1">
        <v>0</v>
      </c>
      <c r="O92" s="1" t="s">
        <v>10</v>
      </c>
      <c r="P92" s="1">
        <v>2</v>
      </c>
      <c r="Q92" s="1">
        <v>2</v>
      </c>
      <c r="R92" s="1">
        <v>2</v>
      </c>
      <c r="S92" s="1">
        <v>2</v>
      </c>
      <c r="V92" s="1" t="s">
        <v>10</v>
      </c>
      <c r="W92" s="1">
        <v>2</v>
      </c>
      <c r="X92" s="1">
        <v>0</v>
      </c>
      <c r="Y92" s="1">
        <v>0</v>
      </c>
      <c r="Z92" s="1">
        <v>0</v>
      </c>
      <c r="AC92" s="1" t="s">
        <v>10</v>
      </c>
      <c r="AD92" s="1">
        <v>2</v>
      </c>
      <c r="AE92" s="1">
        <v>0</v>
      </c>
      <c r="AF92" s="1">
        <v>2</v>
      </c>
      <c r="AG92" s="1">
        <v>0</v>
      </c>
      <c r="AJ92" s="1" t="s">
        <v>10</v>
      </c>
      <c r="AK92" s="1">
        <v>2</v>
      </c>
      <c r="AL92" s="1">
        <v>0</v>
      </c>
      <c r="AM92" s="1">
        <v>2</v>
      </c>
      <c r="AN92" s="1">
        <v>0</v>
      </c>
      <c r="AQ92" s="1" t="s">
        <v>10</v>
      </c>
      <c r="AR92" s="1">
        <v>2</v>
      </c>
      <c r="AS92" s="1">
        <v>0</v>
      </c>
      <c r="AT92" s="1">
        <v>2</v>
      </c>
      <c r="AU92" s="1">
        <v>0</v>
      </c>
      <c r="AX92" s="1" t="s">
        <v>10</v>
      </c>
      <c r="AY92" s="1">
        <v>2</v>
      </c>
      <c r="AZ92" s="1">
        <v>0</v>
      </c>
      <c r="BA92" s="1">
        <v>0</v>
      </c>
      <c r="BB92" s="1">
        <v>0</v>
      </c>
      <c r="BE92" s="1" t="s">
        <v>10</v>
      </c>
      <c r="BF92" s="1">
        <v>2</v>
      </c>
      <c r="BG92" s="1">
        <v>0</v>
      </c>
      <c r="BH92" s="1">
        <v>0</v>
      </c>
      <c r="BI92" s="1">
        <v>0</v>
      </c>
    </row>
    <row r="94" spans="1:63" ht="13" x14ac:dyDescent="0.15">
      <c r="A94" s="3" t="s">
        <v>10</v>
      </c>
      <c r="B94" s="1" t="s">
        <v>14</v>
      </c>
      <c r="C94" s="1" t="s">
        <v>15</v>
      </c>
      <c r="D94" s="1" t="s">
        <v>16</v>
      </c>
      <c r="E94" s="1" t="s">
        <v>17</v>
      </c>
      <c r="F94" s="1" t="s">
        <v>18</v>
      </c>
      <c r="G94" s="1" t="s">
        <v>19</v>
      </c>
      <c r="H94" s="1" t="s">
        <v>10</v>
      </c>
      <c r="I94" s="1" t="s">
        <v>14</v>
      </c>
      <c r="J94" s="1" t="s">
        <v>15</v>
      </c>
      <c r="K94" s="1" t="s">
        <v>16</v>
      </c>
      <c r="L94" s="1" t="s">
        <v>17</v>
      </c>
      <c r="M94" s="1" t="s">
        <v>18</v>
      </c>
      <c r="N94" s="1" t="s">
        <v>19</v>
      </c>
      <c r="O94" s="3" t="s">
        <v>10</v>
      </c>
      <c r="P94" s="1" t="s">
        <v>14</v>
      </c>
      <c r="Q94" s="1" t="s">
        <v>15</v>
      </c>
      <c r="R94" s="1" t="s">
        <v>16</v>
      </c>
      <c r="S94" s="1" t="s">
        <v>17</v>
      </c>
      <c r="T94" s="1" t="s">
        <v>18</v>
      </c>
      <c r="U94" s="1" t="s">
        <v>19</v>
      </c>
      <c r="V94" s="1" t="s">
        <v>10</v>
      </c>
      <c r="W94" s="1" t="s">
        <v>14</v>
      </c>
      <c r="X94" s="1" t="s">
        <v>15</v>
      </c>
      <c r="Y94" s="1" t="s">
        <v>16</v>
      </c>
      <c r="Z94" s="1" t="s">
        <v>17</v>
      </c>
      <c r="AA94" s="1" t="s">
        <v>18</v>
      </c>
      <c r="AB94" s="1" t="s">
        <v>19</v>
      </c>
      <c r="AC94" s="1" t="s">
        <v>10</v>
      </c>
      <c r="AD94" s="1" t="s">
        <v>14</v>
      </c>
      <c r="AE94" s="1" t="s">
        <v>15</v>
      </c>
      <c r="AF94" s="1" t="s">
        <v>16</v>
      </c>
      <c r="AG94" s="1" t="s">
        <v>17</v>
      </c>
      <c r="AH94" s="1" t="s">
        <v>18</v>
      </c>
      <c r="AI94" s="1" t="s">
        <v>19</v>
      </c>
      <c r="AJ94" s="1" t="s">
        <v>10</v>
      </c>
      <c r="AK94" s="1" t="s">
        <v>14</v>
      </c>
      <c r="AL94" s="1" t="s">
        <v>15</v>
      </c>
      <c r="AM94" s="1" t="s">
        <v>16</v>
      </c>
      <c r="AN94" s="1" t="s">
        <v>17</v>
      </c>
      <c r="AO94" s="1" t="s">
        <v>18</v>
      </c>
      <c r="AP94" s="1" t="s">
        <v>19</v>
      </c>
      <c r="AQ94" s="1" t="s">
        <v>10</v>
      </c>
      <c r="AR94" s="1" t="s">
        <v>14</v>
      </c>
      <c r="AS94" s="1" t="s">
        <v>15</v>
      </c>
      <c r="AT94" s="1" t="s">
        <v>16</v>
      </c>
      <c r="AU94" s="1" t="s">
        <v>17</v>
      </c>
      <c r="AV94" s="1" t="s">
        <v>18</v>
      </c>
      <c r="AW94" s="1" t="s">
        <v>19</v>
      </c>
      <c r="AX94" s="1" t="s">
        <v>10</v>
      </c>
      <c r="AY94" s="1" t="s">
        <v>14</v>
      </c>
      <c r="AZ94" s="1" t="s">
        <v>15</v>
      </c>
      <c r="BA94" s="1" t="s">
        <v>16</v>
      </c>
      <c r="BB94" s="1" t="s">
        <v>17</v>
      </c>
      <c r="BC94" s="1" t="s">
        <v>18</v>
      </c>
      <c r="BD94" s="1" t="s">
        <v>19</v>
      </c>
      <c r="BE94" s="1" t="s">
        <v>10</v>
      </c>
      <c r="BF94" s="1" t="s">
        <v>14</v>
      </c>
      <c r="BG94" s="1" t="s">
        <v>15</v>
      </c>
      <c r="BH94" s="1" t="s">
        <v>16</v>
      </c>
      <c r="BI94" s="1" t="s">
        <v>17</v>
      </c>
      <c r="BJ94" s="1" t="s">
        <v>18</v>
      </c>
      <c r="BK94" s="1" t="s">
        <v>19</v>
      </c>
    </row>
    <row r="95" spans="1:63" ht="13" x14ac:dyDescent="0.15">
      <c r="A95" s="1">
        <v>2</v>
      </c>
      <c r="B95" s="1">
        <v>2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2</v>
      </c>
      <c r="P95" s="1">
        <v>2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</row>
    <row r="98" spans="1:63" ht="13" x14ac:dyDescent="0.15">
      <c r="A98" s="1" t="s">
        <v>26</v>
      </c>
    </row>
    <row r="99" spans="1:63" ht="13" x14ac:dyDescent="0.15">
      <c r="A99" s="1" t="s">
        <v>9</v>
      </c>
      <c r="B99" s="1" t="s">
        <v>10</v>
      </c>
      <c r="C99" s="1" t="s">
        <v>11</v>
      </c>
      <c r="D99" s="1" t="s">
        <v>12</v>
      </c>
      <c r="E99" s="1" t="s">
        <v>13</v>
      </c>
      <c r="H99" s="1" t="s">
        <v>9</v>
      </c>
      <c r="I99" s="1" t="s">
        <v>10</v>
      </c>
      <c r="J99" s="1" t="s">
        <v>11</v>
      </c>
      <c r="K99" s="1" t="s">
        <v>12</v>
      </c>
      <c r="L99" s="1" t="s">
        <v>13</v>
      </c>
      <c r="O99" s="1" t="s">
        <v>9</v>
      </c>
      <c r="P99" s="1" t="s">
        <v>10</v>
      </c>
      <c r="Q99" s="1" t="s">
        <v>11</v>
      </c>
      <c r="R99" s="1" t="s">
        <v>12</v>
      </c>
      <c r="S99" s="1" t="s">
        <v>13</v>
      </c>
      <c r="V99" s="1" t="s">
        <v>9</v>
      </c>
      <c r="W99" s="1" t="s">
        <v>10</v>
      </c>
      <c r="X99" s="1" t="s">
        <v>11</v>
      </c>
      <c r="Y99" s="1" t="s">
        <v>12</v>
      </c>
      <c r="Z99" s="1" t="s">
        <v>13</v>
      </c>
      <c r="AC99" s="1" t="s">
        <v>9</v>
      </c>
      <c r="AD99" s="1" t="s">
        <v>10</v>
      </c>
      <c r="AE99" s="1" t="s">
        <v>11</v>
      </c>
      <c r="AF99" s="1" t="s">
        <v>12</v>
      </c>
      <c r="AG99" s="1" t="s">
        <v>13</v>
      </c>
      <c r="AJ99" s="1" t="s">
        <v>9</v>
      </c>
      <c r="AK99" s="1" t="s">
        <v>10</v>
      </c>
      <c r="AL99" s="1" t="s">
        <v>11</v>
      </c>
      <c r="AM99" s="1" t="s">
        <v>12</v>
      </c>
      <c r="AN99" s="1" t="s">
        <v>13</v>
      </c>
      <c r="AQ99" s="1" t="s">
        <v>9</v>
      </c>
      <c r="AR99" s="1" t="s">
        <v>10</v>
      </c>
      <c r="AS99" s="1" t="s">
        <v>11</v>
      </c>
      <c r="AT99" s="1" t="s">
        <v>12</v>
      </c>
      <c r="AU99" s="1" t="s">
        <v>13</v>
      </c>
      <c r="AX99" s="1" t="s">
        <v>9</v>
      </c>
      <c r="AY99" s="1" t="s">
        <v>10</v>
      </c>
      <c r="AZ99" s="1" t="s">
        <v>11</v>
      </c>
      <c r="BA99" s="1" t="s">
        <v>12</v>
      </c>
      <c r="BB99" s="1" t="s">
        <v>13</v>
      </c>
      <c r="BE99" s="1" t="s">
        <v>9</v>
      </c>
      <c r="BF99" s="1" t="s">
        <v>10</v>
      </c>
      <c r="BG99" s="1" t="s">
        <v>11</v>
      </c>
      <c r="BH99" s="1" t="s">
        <v>12</v>
      </c>
      <c r="BI99" s="1" t="s">
        <v>13</v>
      </c>
    </row>
    <row r="100" spans="1:63" ht="13" x14ac:dyDescent="0.15">
      <c r="A100" s="1" t="s">
        <v>14</v>
      </c>
      <c r="B100" s="1">
        <v>11</v>
      </c>
      <c r="C100" s="1">
        <v>8</v>
      </c>
      <c r="D100" s="1">
        <v>10</v>
      </c>
      <c r="E100" s="1">
        <v>8</v>
      </c>
      <c r="H100" s="1" t="s">
        <v>14</v>
      </c>
      <c r="I100" s="1">
        <v>11</v>
      </c>
      <c r="J100" s="1">
        <v>2</v>
      </c>
      <c r="K100" s="1">
        <v>0</v>
      </c>
      <c r="L100" s="1">
        <v>0</v>
      </c>
      <c r="O100" s="1" t="s">
        <v>14</v>
      </c>
      <c r="P100" s="1">
        <v>11</v>
      </c>
      <c r="Q100" s="1">
        <v>1</v>
      </c>
      <c r="R100" s="1">
        <v>10</v>
      </c>
      <c r="S100" s="1">
        <v>1</v>
      </c>
      <c r="V100" s="1" t="s">
        <v>14</v>
      </c>
      <c r="W100" s="1">
        <v>11</v>
      </c>
      <c r="X100" s="1">
        <v>2</v>
      </c>
      <c r="Y100" s="1">
        <v>0</v>
      </c>
      <c r="Z100" s="1">
        <v>0</v>
      </c>
      <c r="AC100" s="1" t="s">
        <v>14</v>
      </c>
      <c r="AD100" s="1">
        <v>11</v>
      </c>
      <c r="AE100" s="1">
        <v>2</v>
      </c>
      <c r="AF100" s="1">
        <v>0</v>
      </c>
      <c r="AG100" s="1">
        <v>0</v>
      </c>
      <c r="AJ100" s="1" t="s">
        <v>14</v>
      </c>
      <c r="AK100" s="1">
        <v>11</v>
      </c>
      <c r="AL100" s="1">
        <v>2</v>
      </c>
      <c r="AM100" s="1">
        <v>0</v>
      </c>
      <c r="AN100" s="1">
        <v>0</v>
      </c>
      <c r="AQ100" s="1" t="s">
        <v>14</v>
      </c>
      <c r="AR100" s="1">
        <v>11</v>
      </c>
      <c r="AS100" s="1">
        <v>2</v>
      </c>
      <c r="AT100" s="1">
        <v>0</v>
      </c>
      <c r="AU100" s="1">
        <v>0</v>
      </c>
      <c r="AX100" s="1" t="s">
        <v>14</v>
      </c>
      <c r="AY100" s="1">
        <v>11</v>
      </c>
      <c r="AZ100" s="1">
        <v>2</v>
      </c>
      <c r="BA100" s="1">
        <v>0</v>
      </c>
      <c r="BB100" s="1">
        <v>0</v>
      </c>
      <c r="BE100" s="1" t="s">
        <v>14</v>
      </c>
      <c r="BF100" s="1">
        <v>11</v>
      </c>
      <c r="BG100" s="1">
        <v>2</v>
      </c>
      <c r="BH100" s="1">
        <v>0</v>
      </c>
      <c r="BI100" s="1">
        <v>0</v>
      </c>
    </row>
    <row r="101" spans="1:63" ht="13" x14ac:dyDescent="0.15">
      <c r="A101" s="1" t="s">
        <v>15</v>
      </c>
      <c r="B101" s="1">
        <v>1</v>
      </c>
      <c r="C101" s="1">
        <v>1</v>
      </c>
      <c r="D101" s="1">
        <v>1</v>
      </c>
      <c r="E101" s="1">
        <v>1</v>
      </c>
      <c r="H101" s="1" t="s">
        <v>15</v>
      </c>
      <c r="I101" s="1">
        <v>1</v>
      </c>
      <c r="J101" s="1">
        <v>0</v>
      </c>
      <c r="K101" s="1">
        <v>1</v>
      </c>
      <c r="L101" s="1">
        <v>0</v>
      </c>
      <c r="O101" s="1" t="s">
        <v>15</v>
      </c>
      <c r="P101" s="1">
        <v>1</v>
      </c>
      <c r="Q101" s="1">
        <v>0</v>
      </c>
      <c r="R101" s="1">
        <v>1</v>
      </c>
      <c r="S101" s="1">
        <v>0</v>
      </c>
      <c r="V101" s="1" t="s">
        <v>15</v>
      </c>
      <c r="W101" s="1">
        <v>1</v>
      </c>
      <c r="X101" s="1">
        <v>0</v>
      </c>
      <c r="Y101" s="1">
        <v>1</v>
      </c>
      <c r="Z101" s="1">
        <v>0</v>
      </c>
      <c r="AC101" s="1" t="s">
        <v>15</v>
      </c>
      <c r="AD101" s="1">
        <v>1</v>
      </c>
      <c r="AE101" s="1">
        <v>0</v>
      </c>
      <c r="AF101" s="1">
        <v>1</v>
      </c>
      <c r="AG101" s="1">
        <v>0</v>
      </c>
      <c r="AJ101" s="1" t="s">
        <v>15</v>
      </c>
      <c r="AK101" s="1">
        <v>1</v>
      </c>
      <c r="AL101" s="1">
        <v>0</v>
      </c>
      <c r="AM101" s="1">
        <v>1</v>
      </c>
      <c r="AN101" s="1">
        <v>0</v>
      </c>
      <c r="AQ101" s="1" t="s">
        <v>15</v>
      </c>
      <c r="AR101" s="1">
        <v>1</v>
      </c>
      <c r="AS101" s="1">
        <v>0</v>
      </c>
      <c r="AT101" s="1">
        <v>1</v>
      </c>
      <c r="AU101" s="1">
        <v>0</v>
      </c>
      <c r="AX101" s="1" t="s">
        <v>15</v>
      </c>
      <c r="AY101" s="1">
        <v>1</v>
      </c>
      <c r="AZ101" s="1">
        <v>0</v>
      </c>
      <c r="BA101" s="1">
        <v>1</v>
      </c>
      <c r="BB101" s="1">
        <v>0</v>
      </c>
      <c r="BE101" s="1" t="s">
        <v>15</v>
      </c>
      <c r="BF101" s="1">
        <v>1</v>
      </c>
      <c r="BG101" s="1">
        <v>0</v>
      </c>
      <c r="BH101" s="1">
        <v>1</v>
      </c>
      <c r="BI101" s="1">
        <v>0</v>
      </c>
    </row>
    <row r="102" spans="1:63" ht="13" x14ac:dyDescent="0.15">
      <c r="A102" s="1" t="s">
        <v>16</v>
      </c>
      <c r="B102" s="1">
        <v>6</v>
      </c>
      <c r="C102" s="1">
        <v>1</v>
      </c>
      <c r="D102" s="1">
        <v>1</v>
      </c>
      <c r="E102" s="1">
        <v>1</v>
      </c>
      <c r="H102" s="1" t="s">
        <v>16</v>
      </c>
      <c r="I102" s="1">
        <v>6</v>
      </c>
      <c r="J102" s="1">
        <v>0</v>
      </c>
      <c r="K102" s="1">
        <v>1</v>
      </c>
      <c r="L102" s="1">
        <v>0</v>
      </c>
      <c r="O102" s="1" t="s">
        <v>16</v>
      </c>
      <c r="P102" s="1">
        <v>6</v>
      </c>
      <c r="Q102" s="1">
        <v>0</v>
      </c>
      <c r="R102" s="1">
        <v>1</v>
      </c>
      <c r="S102" s="1">
        <v>0</v>
      </c>
      <c r="V102" s="1" t="s">
        <v>16</v>
      </c>
      <c r="W102" s="1">
        <v>6</v>
      </c>
      <c r="X102" s="1">
        <v>0</v>
      </c>
      <c r="Y102" s="1">
        <v>1</v>
      </c>
      <c r="Z102" s="1">
        <v>0</v>
      </c>
      <c r="AC102" s="1" t="s">
        <v>16</v>
      </c>
      <c r="AD102" s="1">
        <v>6</v>
      </c>
      <c r="AE102" s="1">
        <v>0</v>
      </c>
      <c r="AF102" s="1">
        <v>1</v>
      </c>
      <c r="AG102" s="1">
        <v>0</v>
      </c>
      <c r="AJ102" s="1" t="s">
        <v>16</v>
      </c>
      <c r="AK102" s="1">
        <v>6</v>
      </c>
      <c r="AL102" s="1">
        <v>0</v>
      </c>
      <c r="AM102" s="1">
        <v>1</v>
      </c>
      <c r="AN102" s="1">
        <v>0</v>
      </c>
      <c r="AQ102" s="1" t="s">
        <v>16</v>
      </c>
      <c r="AR102" s="1">
        <v>6</v>
      </c>
      <c r="AS102" s="1">
        <v>0</v>
      </c>
      <c r="AT102" s="1">
        <v>1</v>
      </c>
      <c r="AU102" s="1">
        <v>0</v>
      </c>
      <c r="AX102" s="1" t="s">
        <v>16</v>
      </c>
      <c r="AY102" s="1">
        <v>6</v>
      </c>
      <c r="AZ102" s="1">
        <v>0</v>
      </c>
      <c r="BA102" s="1">
        <v>1</v>
      </c>
      <c r="BB102" s="1">
        <v>0</v>
      </c>
      <c r="BE102" s="1" t="s">
        <v>16</v>
      </c>
      <c r="BF102" s="1">
        <v>6</v>
      </c>
      <c r="BG102" s="1">
        <v>0</v>
      </c>
      <c r="BH102" s="1">
        <v>1</v>
      </c>
      <c r="BI102" s="1">
        <v>0</v>
      </c>
    </row>
    <row r="103" spans="1:63" ht="13" x14ac:dyDescent="0.15">
      <c r="A103" s="1" t="s">
        <v>17</v>
      </c>
      <c r="B103" s="1">
        <v>4</v>
      </c>
      <c r="C103" s="1">
        <v>0</v>
      </c>
      <c r="D103" s="1">
        <v>0</v>
      </c>
      <c r="E103" s="1">
        <v>0</v>
      </c>
      <c r="H103" s="1" t="s">
        <v>17</v>
      </c>
      <c r="I103" s="1">
        <v>4</v>
      </c>
      <c r="J103" s="1">
        <v>0</v>
      </c>
      <c r="K103" s="1">
        <v>0</v>
      </c>
      <c r="L103" s="1">
        <v>0</v>
      </c>
      <c r="O103" s="1" t="s">
        <v>17</v>
      </c>
      <c r="P103" s="1">
        <v>4</v>
      </c>
      <c r="Q103" s="1">
        <v>0</v>
      </c>
      <c r="R103" s="1">
        <v>0</v>
      </c>
      <c r="S103" s="1">
        <v>0</v>
      </c>
      <c r="V103" s="1" t="s">
        <v>17</v>
      </c>
      <c r="W103" s="1">
        <v>4</v>
      </c>
      <c r="X103" s="1">
        <v>0</v>
      </c>
      <c r="Y103" s="1">
        <v>0</v>
      </c>
      <c r="Z103" s="1">
        <v>0</v>
      </c>
      <c r="AC103" s="1" t="s">
        <v>17</v>
      </c>
      <c r="AD103" s="1">
        <v>4</v>
      </c>
      <c r="AE103" s="1">
        <v>0</v>
      </c>
      <c r="AF103" s="1">
        <v>0</v>
      </c>
      <c r="AG103" s="1">
        <v>0</v>
      </c>
      <c r="AJ103" s="1" t="s">
        <v>17</v>
      </c>
      <c r="AK103" s="1">
        <v>4</v>
      </c>
      <c r="AL103" s="1">
        <v>0</v>
      </c>
      <c r="AM103" s="1">
        <v>0</v>
      </c>
      <c r="AN103" s="1">
        <v>0</v>
      </c>
      <c r="AQ103" s="1" t="s">
        <v>17</v>
      </c>
      <c r="AR103" s="1">
        <v>4</v>
      </c>
      <c r="AS103" s="1">
        <v>0</v>
      </c>
      <c r="AT103" s="1">
        <v>0</v>
      </c>
      <c r="AU103" s="1">
        <v>0</v>
      </c>
      <c r="AX103" s="1" t="s">
        <v>17</v>
      </c>
      <c r="AY103" s="1">
        <v>4</v>
      </c>
      <c r="AZ103" s="1">
        <v>0</v>
      </c>
      <c r="BA103" s="1">
        <v>0</v>
      </c>
      <c r="BB103" s="1">
        <v>0</v>
      </c>
      <c r="BE103" s="1" t="s">
        <v>17</v>
      </c>
      <c r="BF103" s="1">
        <v>4</v>
      </c>
      <c r="BG103" s="1">
        <v>0</v>
      </c>
      <c r="BH103" s="1">
        <v>0</v>
      </c>
      <c r="BI103" s="1">
        <v>0</v>
      </c>
    </row>
    <row r="104" spans="1:63" ht="13" x14ac:dyDescent="0.15">
      <c r="A104" s="1" t="s">
        <v>18</v>
      </c>
      <c r="B104" s="1">
        <v>0</v>
      </c>
      <c r="C104" s="1">
        <v>0</v>
      </c>
      <c r="D104" s="1">
        <v>0</v>
      </c>
      <c r="E104" s="1">
        <v>0</v>
      </c>
      <c r="H104" s="1" t="s">
        <v>18</v>
      </c>
      <c r="I104" s="1">
        <v>0</v>
      </c>
      <c r="J104" s="1">
        <v>0</v>
      </c>
      <c r="K104" s="1">
        <v>0</v>
      </c>
      <c r="L104" s="1">
        <v>0</v>
      </c>
      <c r="O104" s="1" t="s">
        <v>18</v>
      </c>
      <c r="P104" s="1">
        <v>0</v>
      </c>
      <c r="Q104" s="1">
        <v>0</v>
      </c>
      <c r="R104" s="1">
        <v>0</v>
      </c>
      <c r="S104" s="1">
        <v>0</v>
      </c>
      <c r="V104" s="1" t="s">
        <v>18</v>
      </c>
      <c r="W104" s="1">
        <v>0</v>
      </c>
      <c r="X104" s="1">
        <v>0</v>
      </c>
      <c r="Y104" s="1">
        <v>0</v>
      </c>
      <c r="Z104" s="1">
        <v>0</v>
      </c>
      <c r="AC104" s="1" t="s">
        <v>18</v>
      </c>
      <c r="AD104" s="1">
        <v>0</v>
      </c>
      <c r="AE104" s="1">
        <v>0</v>
      </c>
      <c r="AF104" s="1">
        <v>0</v>
      </c>
      <c r="AG104" s="1">
        <v>0</v>
      </c>
      <c r="AJ104" s="1" t="s">
        <v>18</v>
      </c>
      <c r="AK104" s="1">
        <v>0</v>
      </c>
      <c r="AL104" s="1">
        <v>0</v>
      </c>
      <c r="AM104" s="1">
        <v>0</v>
      </c>
      <c r="AN104" s="1">
        <v>0</v>
      </c>
      <c r="AQ104" s="1" t="s">
        <v>18</v>
      </c>
      <c r="AR104" s="1">
        <v>0</v>
      </c>
      <c r="AS104" s="1">
        <v>0</v>
      </c>
      <c r="AT104" s="1">
        <v>0</v>
      </c>
      <c r="AU104" s="1">
        <v>0</v>
      </c>
      <c r="AX104" s="1" t="s">
        <v>18</v>
      </c>
      <c r="AY104" s="1">
        <v>0</v>
      </c>
      <c r="AZ104" s="1">
        <v>0</v>
      </c>
      <c r="BA104" s="1">
        <v>0</v>
      </c>
      <c r="BB104" s="1">
        <v>0</v>
      </c>
      <c r="BE104" s="1" t="s">
        <v>18</v>
      </c>
      <c r="BF104" s="1">
        <v>0</v>
      </c>
      <c r="BG104" s="1">
        <v>0</v>
      </c>
      <c r="BH104" s="1">
        <v>0</v>
      </c>
      <c r="BI104" s="1">
        <v>0</v>
      </c>
    </row>
    <row r="105" spans="1:63" ht="13" x14ac:dyDescent="0.15">
      <c r="A105" s="1" t="s">
        <v>19</v>
      </c>
      <c r="B105" s="1">
        <v>0</v>
      </c>
      <c r="C105" s="1">
        <v>0</v>
      </c>
      <c r="D105" s="1">
        <v>0</v>
      </c>
      <c r="E105" s="1">
        <v>0</v>
      </c>
      <c r="H105" s="1" t="s">
        <v>19</v>
      </c>
      <c r="I105" s="1">
        <v>0</v>
      </c>
      <c r="J105" s="1">
        <v>0</v>
      </c>
      <c r="K105" s="1">
        <v>0</v>
      </c>
      <c r="L105" s="1">
        <v>0</v>
      </c>
      <c r="O105" s="1" t="s">
        <v>19</v>
      </c>
      <c r="P105" s="1">
        <v>0</v>
      </c>
      <c r="Q105" s="1">
        <v>0</v>
      </c>
      <c r="R105" s="1">
        <v>0</v>
      </c>
      <c r="S105" s="1">
        <v>0</v>
      </c>
      <c r="V105" s="1" t="s">
        <v>19</v>
      </c>
      <c r="W105" s="1">
        <v>0</v>
      </c>
      <c r="X105" s="1">
        <v>0</v>
      </c>
      <c r="Y105" s="1">
        <v>0</v>
      </c>
      <c r="Z105" s="1">
        <v>0</v>
      </c>
      <c r="AC105" s="1" t="s">
        <v>19</v>
      </c>
      <c r="AD105" s="1">
        <v>0</v>
      </c>
      <c r="AE105" s="1">
        <v>0</v>
      </c>
      <c r="AF105" s="1">
        <v>0</v>
      </c>
      <c r="AG105" s="1">
        <v>0</v>
      </c>
      <c r="AJ105" s="1" t="s">
        <v>19</v>
      </c>
      <c r="AK105" s="1">
        <v>0</v>
      </c>
      <c r="AL105" s="1">
        <v>0</v>
      </c>
      <c r="AM105" s="1">
        <v>0</v>
      </c>
      <c r="AN105" s="1">
        <v>0</v>
      </c>
      <c r="AQ105" s="1" t="s">
        <v>19</v>
      </c>
      <c r="AR105" s="1">
        <v>0</v>
      </c>
      <c r="AS105" s="1">
        <v>0</v>
      </c>
      <c r="AT105" s="1">
        <v>0</v>
      </c>
      <c r="AU105" s="1">
        <v>0</v>
      </c>
      <c r="AX105" s="1" t="s">
        <v>19</v>
      </c>
      <c r="AY105" s="1">
        <v>0</v>
      </c>
      <c r="AZ105" s="1">
        <v>0</v>
      </c>
      <c r="BA105" s="1">
        <v>0</v>
      </c>
      <c r="BB105" s="1">
        <v>0</v>
      </c>
      <c r="BE105" s="1" t="s">
        <v>19</v>
      </c>
      <c r="BF105" s="1">
        <v>0</v>
      </c>
      <c r="BG105" s="1">
        <v>0</v>
      </c>
      <c r="BH105" s="1">
        <v>0</v>
      </c>
      <c r="BI105" s="1">
        <v>0</v>
      </c>
    </row>
    <row r="106" spans="1:63" ht="13" x14ac:dyDescent="0.15">
      <c r="A106" s="3" t="s">
        <v>10</v>
      </c>
      <c r="B106" s="1">
        <v>22</v>
      </c>
      <c r="C106" s="1">
        <v>10</v>
      </c>
      <c r="D106" s="1">
        <v>12</v>
      </c>
      <c r="E106" s="1">
        <v>10</v>
      </c>
      <c r="H106" s="1" t="s">
        <v>10</v>
      </c>
      <c r="I106" s="1">
        <v>22</v>
      </c>
      <c r="J106" s="1">
        <v>2</v>
      </c>
      <c r="K106" s="1">
        <v>2</v>
      </c>
      <c r="L106" s="1">
        <v>0</v>
      </c>
      <c r="O106" s="1" t="s">
        <v>10</v>
      </c>
      <c r="P106" s="1">
        <v>22</v>
      </c>
      <c r="Q106" s="1">
        <v>1</v>
      </c>
      <c r="R106" s="1">
        <v>12</v>
      </c>
      <c r="S106" s="1">
        <v>1</v>
      </c>
      <c r="V106" s="1" t="s">
        <v>10</v>
      </c>
      <c r="W106" s="1">
        <v>22</v>
      </c>
      <c r="X106" s="1">
        <v>2</v>
      </c>
      <c r="Y106" s="1">
        <v>2</v>
      </c>
      <c r="Z106" s="1">
        <v>0</v>
      </c>
      <c r="AC106" s="1" t="s">
        <v>10</v>
      </c>
      <c r="AD106" s="1">
        <v>22</v>
      </c>
      <c r="AE106" s="1">
        <v>2</v>
      </c>
      <c r="AF106" s="1">
        <v>2</v>
      </c>
      <c r="AG106" s="1">
        <v>0</v>
      </c>
      <c r="AJ106" s="1" t="s">
        <v>10</v>
      </c>
      <c r="AK106" s="1">
        <v>22</v>
      </c>
      <c r="AL106" s="1">
        <v>2</v>
      </c>
      <c r="AM106" s="1">
        <v>2</v>
      </c>
      <c r="AN106" s="1">
        <v>0</v>
      </c>
      <c r="AQ106" s="1" t="s">
        <v>10</v>
      </c>
      <c r="AR106" s="1">
        <v>22</v>
      </c>
      <c r="AS106" s="1">
        <v>2</v>
      </c>
      <c r="AT106" s="1">
        <v>2</v>
      </c>
      <c r="AU106" s="1">
        <v>0</v>
      </c>
      <c r="AX106" s="1" t="s">
        <v>10</v>
      </c>
      <c r="AY106" s="1">
        <v>22</v>
      </c>
      <c r="AZ106" s="1">
        <v>2</v>
      </c>
      <c r="BA106" s="1">
        <v>2</v>
      </c>
      <c r="BB106" s="1">
        <v>0</v>
      </c>
      <c r="BE106" s="1" t="s">
        <v>10</v>
      </c>
      <c r="BF106" s="1">
        <v>22</v>
      </c>
      <c r="BG106" s="1">
        <v>2</v>
      </c>
      <c r="BH106" s="1">
        <v>2</v>
      </c>
      <c r="BI106" s="1">
        <v>0</v>
      </c>
    </row>
    <row r="108" spans="1:63" ht="13" x14ac:dyDescent="0.15">
      <c r="A108" s="1" t="s">
        <v>10</v>
      </c>
      <c r="B108" s="1" t="s">
        <v>14</v>
      </c>
      <c r="C108" s="1" t="s">
        <v>15</v>
      </c>
      <c r="D108" s="1" t="s">
        <v>16</v>
      </c>
      <c r="E108" s="1" t="s">
        <v>17</v>
      </c>
      <c r="F108" s="1" t="s">
        <v>18</v>
      </c>
      <c r="G108" s="1" t="s">
        <v>19</v>
      </c>
      <c r="H108" s="1" t="s">
        <v>10</v>
      </c>
      <c r="I108" s="1" t="s">
        <v>14</v>
      </c>
      <c r="J108" s="1" t="s">
        <v>15</v>
      </c>
      <c r="K108" s="1" t="s">
        <v>16</v>
      </c>
      <c r="L108" s="1" t="s">
        <v>17</v>
      </c>
      <c r="M108" s="1" t="s">
        <v>18</v>
      </c>
      <c r="N108" s="1" t="s">
        <v>19</v>
      </c>
      <c r="O108" s="1" t="s">
        <v>10</v>
      </c>
      <c r="P108" s="1" t="s">
        <v>14</v>
      </c>
      <c r="Q108" s="1" t="s">
        <v>15</v>
      </c>
      <c r="R108" s="1" t="s">
        <v>16</v>
      </c>
      <c r="S108" s="1" t="s">
        <v>17</v>
      </c>
      <c r="T108" s="1" t="s">
        <v>18</v>
      </c>
      <c r="U108" s="1" t="s">
        <v>19</v>
      </c>
      <c r="V108" s="1" t="s">
        <v>10</v>
      </c>
      <c r="W108" s="1" t="s">
        <v>14</v>
      </c>
      <c r="X108" s="1" t="s">
        <v>15</v>
      </c>
      <c r="Y108" s="1" t="s">
        <v>16</v>
      </c>
      <c r="Z108" s="1" t="s">
        <v>17</v>
      </c>
      <c r="AA108" s="1" t="s">
        <v>18</v>
      </c>
      <c r="AB108" s="1" t="s">
        <v>19</v>
      </c>
      <c r="AC108" s="1" t="s">
        <v>10</v>
      </c>
      <c r="AD108" s="1" t="s">
        <v>14</v>
      </c>
      <c r="AE108" s="1" t="s">
        <v>15</v>
      </c>
      <c r="AF108" s="1" t="s">
        <v>16</v>
      </c>
      <c r="AG108" s="1" t="s">
        <v>17</v>
      </c>
      <c r="AH108" s="1" t="s">
        <v>18</v>
      </c>
      <c r="AI108" s="1" t="s">
        <v>19</v>
      </c>
      <c r="AJ108" s="1" t="s">
        <v>10</v>
      </c>
      <c r="AK108" s="1" t="s">
        <v>14</v>
      </c>
      <c r="AL108" s="1" t="s">
        <v>15</v>
      </c>
      <c r="AM108" s="1" t="s">
        <v>16</v>
      </c>
      <c r="AN108" s="1" t="s">
        <v>17</v>
      </c>
      <c r="AO108" s="1" t="s">
        <v>18</v>
      </c>
      <c r="AP108" s="1" t="s">
        <v>19</v>
      </c>
      <c r="AQ108" s="1" t="s">
        <v>10</v>
      </c>
      <c r="AR108" s="1" t="s">
        <v>14</v>
      </c>
      <c r="AS108" s="1" t="s">
        <v>15</v>
      </c>
      <c r="AT108" s="1" t="s">
        <v>16</v>
      </c>
      <c r="AU108" s="1" t="s">
        <v>17</v>
      </c>
      <c r="AV108" s="1" t="s">
        <v>18</v>
      </c>
      <c r="AW108" s="1" t="s">
        <v>19</v>
      </c>
      <c r="AX108" s="1" t="s">
        <v>10</v>
      </c>
      <c r="AY108" s="1" t="s">
        <v>14</v>
      </c>
      <c r="AZ108" s="1" t="s">
        <v>15</v>
      </c>
      <c r="BA108" s="1" t="s">
        <v>16</v>
      </c>
      <c r="BB108" s="1" t="s">
        <v>17</v>
      </c>
      <c r="BC108" s="1" t="s">
        <v>18</v>
      </c>
      <c r="BD108" s="1" t="s">
        <v>19</v>
      </c>
      <c r="BE108" s="1" t="s">
        <v>10</v>
      </c>
      <c r="BF108" s="1" t="s">
        <v>14</v>
      </c>
      <c r="BG108" s="1" t="s">
        <v>15</v>
      </c>
      <c r="BH108" s="1" t="s">
        <v>16</v>
      </c>
      <c r="BI108" s="1" t="s">
        <v>17</v>
      </c>
      <c r="BJ108" s="1" t="s">
        <v>18</v>
      </c>
      <c r="BK108" s="1" t="s">
        <v>19</v>
      </c>
    </row>
    <row r="109" spans="1:63" ht="13" x14ac:dyDescent="0.15">
      <c r="A109" s="1">
        <v>10</v>
      </c>
      <c r="B109" s="1">
        <v>8</v>
      </c>
      <c r="C109" s="1">
        <v>1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1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</row>
    <row r="112" spans="1:63" ht="13" x14ac:dyDescent="0.15">
      <c r="A112" s="1">
        <v>703</v>
      </c>
      <c r="B112" s="1">
        <v>315</v>
      </c>
      <c r="C112" s="1">
        <v>412</v>
      </c>
      <c r="D112" s="1">
        <v>259</v>
      </c>
      <c r="H112" s="1">
        <v>703</v>
      </c>
      <c r="I112" s="1">
        <v>150</v>
      </c>
      <c r="J112" s="1">
        <v>98</v>
      </c>
      <c r="K112" s="1">
        <v>56</v>
      </c>
      <c r="O112" s="1">
        <v>703</v>
      </c>
      <c r="P112" s="1">
        <v>346</v>
      </c>
      <c r="Q112" s="1">
        <v>457</v>
      </c>
      <c r="R112" s="1">
        <v>295</v>
      </c>
      <c r="V112" s="1">
        <v>703</v>
      </c>
      <c r="W112" s="1">
        <v>18</v>
      </c>
      <c r="X112" s="1">
        <v>82</v>
      </c>
      <c r="Y112" s="1">
        <v>6</v>
      </c>
      <c r="AC112" s="1">
        <v>703</v>
      </c>
      <c r="AD112" s="1">
        <v>12</v>
      </c>
      <c r="AE112" s="1">
        <v>121</v>
      </c>
      <c r="AF112" s="1">
        <v>5</v>
      </c>
      <c r="AJ112" s="1">
        <v>703</v>
      </c>
      <c r="AK112" s="1">
        <v>5</v>
      </c>
      <c r="AL112" s="1">
        <v>86</v>
      </c>
      <c r="AM112" s="1">
        <v>1</v>
      </c>
      <c r="AQ112" s="1">
        <v>703</v>
      </c>
      <c r="AR112" s="1">
        <v>22</v>
      </c>
      <c r="AS112" s="1">
        <v>55</v>
      </c>
      <c r="AT112" s="1">
        <v>5</v>
      </c>
      <c r="AX112" s="1">
        <v>703</v>
      </c>
      <c r="AY112" s="1">
        <v>8</v>
      </c>
      <c r="AZ112" s="1">
        <v>13</v>
      </c>
      <c r="BA112" s="1">
        <v>1</v>
      </c>
      <c r="BE112" s="1">
        <v>703</v>
      </c>
      <c r="BF112" s="1">
        <v>33</v>
      </c>
      <c r="BG112" s="1">
        <v>44</v>
      </c>
      <c r="BH112" s="1">
        <v>11</v>
      </c>
    </row>
    <row r="113" spans="1:63" ht="13" x14ac:dyDescent="0.15">
      <c r="A113" s="1">
        <f t="shared" ref="A113:BI113" si="1">SUM(B106,B92,B79,B65,B51,B38,B24,B11)</f>
        <v>396</v>
      </c>
      <c r="B113" s="1">
        <f t="shared" si="1"/>
        <v>222</v>
      </c>
      <c r="C113" s="1">
        <f t="shared" si="1"/>
        <v>224</v>
      </c>
      <c r="D113" s="1">
        <f t="shared" si="1"/>
        <v>179</v>
      </c>
      <c r="E113" s="1">
        <f t="shared" si="1"/>
        <v>0</v>
      </c>
      <c r="F113" s="1">
        <f t="shared" si="1"/>
        <v>0</v>
      </c>
      <c r="G113" s="1">
        <f t="shared" si="1"/>
        <v>0</v>
      </c>
      <c r="H113" s="1">
        <f t="shared" si="1"/>
        <v>396</v>
      </c>
      <c r="I113" s="1">
        <f t="shared" si="1"/>
        <v>49</v>
      </c>
      <c r="J113" s="1">
        <f t="shared" si="1"/>
        <v>44</v>
      </c>
      <c r="K113" s="1">
        <f t="shared" si="1"/>
        <v>26</v>
      </c>
      <c r="L113" s="1">
        <f t="shared" si="1"/>
        <v>0</v>
      </c>
      <c r="M113" s="1">
        <f t="shared" si="1"/>
        <v>0</v>
      </c>
      <c r="N113" s="1">
        <f t="shared" si="1"/>
        <v>0</v>
      </c>
      <c r="O113" s="1">
        <f t="shared" si="1"/>
        <v>396</v>
      </c>
      <c r="P113" s="1">
        <f t="shared" si="1"/>
        <v>208</v>
      </c>
      <c r="Q113" s="1">
        <f t="shared" si="1"/>
        <v>217</v>
      </c>
      <c r="R113" s="1">
        <f t="shared" si="1"/>
        <v>162</v>
      </c>
      <c r="S113" s="1">
        <f t="shared" si="1"/>
        <v>0</v>
      </c>
      <c r="T113" s="1">
        <f t="shared" si="1"/>
        <v>0</v>
      </c>
      <c r="U113" s="1">
        <f t="shared" si="1"/>
        <v>0</v>
      </c>
      <c r="V113" s="1">
        <f t="shared" si="1"/>
        <v>396</v>
      </c>
      <c r="W113" s="1">
        <f t="shared" si="1"/>
        <v>4</v>
      </c>
      <c r="X113" s="1">
        <f t="shared" si="1"/>
        <v>19</v>
      </c>
      <c r="Y113" s="1">
        <f t="shared" si="1"/>
        <v>1</v>
      </c>
      <c r="Z113" s="1">
        <f t="shared" si="1"/>
        <v>0</v>
      </c>
      <c r="AA113" s="1">
        <f t="shared" si="1"/>
        <v>0</v>
      </c>
      <c r="AB113" s="1">
        <f t="shared" si="1"/>
        <v>0</v>
      </c>
      <c r="AC113" s="1">
        <f t="shared" si="1"/>
        <v>396</v>
      </c>
      <c r="AD113" s="1">
        <f t="shared" si="1"/>
        <v>8</v>
      </c>
      <c r="AE113" s="1">
        <f t="shared" si="1"/>
        <v>21</v>
      </c>
      <c r="AF113" s="1">
        <f t="shared" si="1"/>
        <v>1</v>
      </c>
      <c r="AG113" s="1">
        <f t="shared" si="1"/>
        <v>0</v>
      </c>
      <c r="AH113" s="1">
        <f t="shared" si="1"/>
        <v>0</v>
      </c>
      <c r="AI113" s="1">
        <f t="shared" si="1"/>
        <v>0</v>
      </c>
      <c r="AJ113" s="1">
        <f t="shared" si="1"/>
        <v>396</v>
      </c>
      <c r="AK113" s="1">
        <f t="shared" si="1"/>
        <v>18</v>
      </c>
      <c r="AL113" s="1">
        <f t="shared" si="1"/>
        <v>15</v>
      </c>
      <c r="AM113" s="1">
        <f t="shared" si="1"/>
        <v>2</v>
      </c>
      <c r="AN113" s="1">
        <f t="shared" si="1"/>
        <v>0</v>
      </c>
      <c r="AO113" s="1">
        <f t="shared" si="1"/>
        <v>0</v>
      </c>
      <c r="AP113" s="1">
        <f t="shared" si="1"/>
        <v>0</v>
      </c>
      <c r="AQ113" s="1">
        <f t="shared" si="1"/>
        <v>396</v>
      </c>
      <c r="AR113" s="1">
        <f t="shared" si="1"/>
        <v>9</v>
      </c>
      <c r="AS113" s="1">
        <f t="shared" si="1"/>
        <v>15</v>
      </c>
      <c r="AT113" s="1">
        <f t="shared" si="1"/>
        <v>2</v>
      </c>
      <c r="AU113" s="1">
        <f t="shared" si="1"/>
        <v>0</v>
      </c>
      <c r="AV113" s="1">
        <f t="shared" si="1"/>
        <v>0</v>
      </c>
      <c r="AW113" s="1">
        <f t="shared" si="1"/>
        <v>0</v>
      </c>
      <c r="AX113" s="1">
        <f t="shared" si="1"/>
        <v>396</v>
      </c>
      <c r="AY113" s="1">
        <f t="shared" si="1"/>
        <v>6</v>
      </c>
      <c r="AZ113" s="1">
        <f t="shared" si="1"/>
        <v>2</v>
      </c>
      <c r="BA113" s="1">
        <f t="shared" si="1"/>
        <v>0</v>
      </c>
      <c r="BB113" s="1">
        <f t="shared" si="1"/>
        <v>0</v>
      </c>
      <c r="BC113" s="1">
        <f t="shared" si="1"/>
        <v>0</v>
      </c>
      <c r="BD113" s="1">
        <f t="shared" si="1"/>
        <v>0</v>
      </c>
      <c r="BE113" s="1">
        <f t="shared" si="1"/>
        <v>396</v>
      </c>
      <c r="BF113" s="1">
        <f t="shared" si="1"/>
        <v>8</v>
      </c>
      <c r="BG113" s="1">
        <f t="shared" si="1"/>
        <v>4</v>
      </c>
      <c r="BH113" s="1">
        <f t="shared" si="1"/>
        <v>1</v>
      </c>
      <c r="BI113" s="1">
        <f t="shared" si="1"/>
        <v>0</v>
      </c>
    </row>
    <row r="114" spans="1:63" ht="13" x14ac:dyDescent="0.15">
      <c r="A114" s="1">
        <f t="shared" ref="A114:D114" si="2">SUM(A112:A113)</f>
        <v>1099</v>
      </c>
      <c r="B114" s="1">
        <f t="shared" si="2"/>
        <v>537</v>
      </c>
      <c r="C114" s="1">
        <f t="shared" si="2"/>
        <v>636</v>
      </c>
      <c r="D114" s="1">
        <f t="shared" si="2"/>
        <v>438</v>
      </c>
      <c r="H114" s="1">
        <f t="shared" ref="H114:K114" si="3">SUM(H112:H113)</f>
        <v>1099</v>
      </c>
      <c r="I114" s="1">
        <f t="shared" si="3"/>
        <v>199</v>
      </c>
      <c r="J114" s="1">
        <f t="shared" si="3"/>
        <v>142</v>
      </c>
      <c r="K114" s="1">
        <f t="shared" si="3"/>
        <v>82</v>
      </c>
      <c r="O114" s="1">
        <f t="shared" ref="O114:R114" si="4">SUM(O112:O113)</f>
        <v>1099</v>
      </c>
      <c r="P114" s="1">
        <f t="shared" si="4"/>
        <v>554</v>
      </c>
      <c r="Q114" s="1">
        <f t="shared" si="4"/>
        <v>674</v>
      </c>
      <c r="R114" s="1">
        <f t="shared" si="4"/>
        <v>457</v>
      </c>
      <c r="V114" s="1">
        <f t="shared" ref="V114:Y114" si="5">SUM(V112:V113)</f>
        <v>1099</v>
      </c>
      <c r="W114" s="1">
        <f t="shared" si="5"/>
        <v>22</v>
      </c>
      <c r="X114" s="1">
        <f t="shared" si="5"/>
        <v>101</v>
      </c>
      <c r="Y114" s="1">
        <f t="shared" si="5"/>
        <v>7</v>
      </c>
      <c r="AC114" s="1">
        <f t="shared" ref="AC114:AF114" si="6">SUM(AC112:AC113)</f>
        <v>1099</v>
      </c>
      <c r="AD114" s="1">
        <f t="shared" si="6"/>
        <v>20</v>
      </c>
      <c r="AE114" s="1">
        <f t="shared" si="6"/>
        <v>142</v>
      </c>
      <c r="AF114" s="1">
        <f t="shared" si="6"/>
        <v>6</v>
      </c>
      <c r="AJ114" s="1">
        <f t="shared" ref="AJ114:AM114" si="7">SUM(AJ112:AJ113)</f>
        <v>1099</v>
      </c>
      <c r="AK114" s="1">
        <f t="shared" si="7"/>
        <v>23</v>
      </c>
      <c r="AL114" s="1">
        <f t="shared" si="7"/>
        <v>101</v>
      </c>
      <c r="AM114" s="1">
        <f t="shared" si="7"/>
        <v>3</v>
      </c>
      <c r="AQ114" s="1">
        <f t="shared" ref="AQ114:AT114" si="8">SUM(AQ112:AQ113)</f>
        <v>1099</v>
      </c>
      <c r="AR114" s="1">
        <f t="shared" si="8"/>
        <v>31</v>
      </c>
      <c r="AS114" s="1">
        <f t="shared" si="8"/>
        <v>70</v>
      </c>
      <c r="AT114" s="1">
        <f t="shared" si="8"/>
        <v>7</v>
      </c>
      <c r="AX114" s="1">
        <f t="shared" ref="AX114:BA114" si="9">SUM(AX112:AX113)</f>
        <v>1099</v>
      </c>
      <c r="AY114" s="1">
        <f t="shared" si="9"/>
        <v>14</v>
      </c>
      <c r="AZ114" s="1">
        <f t="shared" si="9"/>
        <v>15</v>
      </c>
      <c r="BA114" s="1">
        <f t="shared" si="9"/>
        <v>1</v>
      </c>
      <c r="BE114" s="1">
        <f t="shared" ref="BE114:BH114" si="10">SUM(BE112:BE113)</f>
        <v>1099</v>
      </c>
      <c r="BF114" s="1">
        <f t="shared" si="10"/>
        <v>41</v>
      </c>
      <c r="BG114" s="1">
        <f t="shared" si="10"/>
        <v>48</v>
      </c>
      <c r="BH114" s="1">
        <f t="shared" si="10"/>
        <v>12</v>
      </c>
    </row>
    <row r="115" spans="1:63" ht="13" x14ac:dyDescent="0.15">
      <c r="B115" s="1">
        <f>B114/A114</f>
        <v>0.48862602365787078</v>
      </c>
      <c r="C115" s="1">
        <f>C114/A114</f>
        <v>0.57870791628753415</v>
      </c>
      <c r="D115" s="1">
        <f>D114/A114</f>
        <v>0.39854413102820746</v>
      </c>
      <c r="I115" s="1">
        <f>I114/H114</f>
        <v>0.18107370336669701</v>
      </c>
      <c r="J115" s="1">
        <f>J114/H114</f>
        <v>0.12920837124658779</v>
      </c>
      <c r="K115" s="1">
        <f>K114/H114</f>
        <v>7.4613284804367602E-2</v>
      </c>
      <c r="P115" s="1">
        <f>P114/O114</f>
        <v>0.50409463148316647</v>
      </c>
      <c r="Q115" s="1">
        <f>Q114/O114</f>
        <v>0.61328480436760691</v>
      </c>
      <c r="R115" s="1">
        <f>R114/O114</f>
        <v>0.41583257506824384</v>
      </c>
      <c r="W115" s="1">
        <f>W114/V114</f>
        <v>2.0018198362147407E-2</v>
      </c>
      <c r="X115" s="1">
        <f>X114/V114</f>
        <v>9.1901728844404007E-2</v>
      </c>
      <c r="Y115" s="1">
        <f>Y114/V114</f>
        <v>6.369426751592357E-3</v>
      </c>
      <c r="AD115" s="1">
        <f>AD114/AC114</f>
        <v>1.8198362147406732E-2</v>
      </c>
      <c r="AE115" s="1">
        <f>AE114/AC114</f>
        <v>0.12920837124658779</v>
      </c>
      <c r="AF115" s="1">
        <f>AF114/AC114</f>
        <v>5.4595086442220204E-3</v>
      </c>
      <c r="AK115" s="1">
        <f>AK114/AJ114</f>
        <v>2.0928116469517744E-2</v>
      </c>
      <c r="AL115" s="1">
        <f>AL114/AJ114</f>
        <v>9.1901728844404007E-2</v>
      </c>
      <c r="AM115" s="1">
        <f>AM114/AJ114</f>
        <v>2.7297543221110102E-3</v>
      </c>
      <c r="AR115" s="1">
        <f>AR114/AQ114</f>
        <v>2.8207461328480437E-2</v>
      </c>
      <c r="AS115" s="1">
        <f>AS114/AQ114</f>
        <v>6.3694267515923567E-2</v>
      </c>
      <c r="AT115" s="1">
        <f>AT114/AQ114</f>
        <v>6.369426751592357E-3</v>
      </c>
      <c r="AY115" s="1">
        <f>AY114/AX114</f>
        <v>1.2738853503184714E-2</v>
      </c>
      <c r="AZ115" s="1">
        <f>AZ114/AX114</f>
        <v>1.364877161055505E-2</v>
      </c>
      <c r="BA115" s="1">
        <f>BA114/AX114</f>
        <v>9.099181073703367E-4</v>
      </c>
      <c r="BF115" s="1">
        <f>BF114/BE114</f>
        <v>3.7306642402183801E-2</v>
      </c>
      <c r="BG115" s="1">
        <f>BG114/BE114</f>
        <v>4.3676069153776163E-2</v>
      </c>
      <c r="BH115" s="1">
        <f>BH114/BE114</f>
        <v>1.0919017288444041E-2</v>
      </c>
    </row>
    <row r="118" spans="1:63" ht="13" x14ac:dyDescent="0.15">
      <c r="A118" s="1">
        <v>259</v>
      </c>
      <c r="B118" s="1">
        <v>192</v>
      </c>
      <c r="C118" s="1">
        <v>19</v>
      </c>
      <c r="D118" s="1">
        <v>14</v>
      </c>
      <c r="E118" s="1">
        <v>33</v>
      </c>
      <c r="F118" s="1">
        <v>1</v>
      </c>
      <c r="G118" s="1">
        <v>0</v>
      </c>
      <c r="H118" s="1">
        <v>56</v>
      </c>
      <c r="I118" s="1">
        <v>43</v>
      </c>
      <c r="J118" s="1">
        <v>8</v>
      </c>
      <c r="K118" s="1">
        <v>3</v>
      </c>
      <c r="L118" s="1">
        <v>2</v>
      </c>
      <c r="M118" s="1">
        <v>0</v>
      </c>
      <c r="N118" s="1">
        <v>0</v>
      </c>
      <c r="O118" s="1">
        <v>295</v>
      </c>
      <c r="P118" s="1">
        <v>243</v>
      </c>
      <c r="Q118" s="1">
        <v>17</v>
      </c>
      <c r="R118" s="1">
        <v>5</v>
      </c>
      <c r="S118" s="1">
        <v>30</v>
      </c>
      <c r="T118" s="1">
        <v>0</v>
      </c>
      <c r="U118" s="1">
        <v>0</v>
      </c>
      <c r="V118" s="1">
        <v>6</v>
      </c>
      <c r="W118" s="1">
        <v>2</v>
      </c>
      <c r="X118" s="1">
        <v>4</v>
      </c>
      <c r="Y118" s="1">
        <v>0</v>
      </c>
      <c r="Z118" s="1">
        <v>0</v>
      </c>
      <c r="AA118" s="1">
        <v>0</v>
      </c>
      <c r="AB118" s="1">
        <v>0</v>
      </c>
      <c r="AC118" s="1">
        <v>5</v>
      </c>
      <c r="AD118" s="1">
        <v>5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1</v>
      </c>
      <c r="AK118" s="1">
        <v>0</v>
      </c>
      <c r="AL118" s="1">
        <v>0</v>
      </c>
      <c r="AM118" s="1">
        <v>0</v>
      </c>
      <c r="AN118" s="1">
        <v>1</v>
      </c>
      <c r="AO118" s="1">
        <v>0</v>
      </c>
      <c r="AP118" s="1">
        <v>0</v>
      </c>
      <c r="AQ118" s="1">
        <v>5</v>
      </c>
      <c r="AR118" s="1">
        <v>5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1</v>
      </c>
      <c r="AY118" s="1">
        <v>1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</row>
    <row r="119" spans="1:63" ht="13" x14ac:dyDescent="0.15">
      <c r="A119" s="1">
        <f t="shared" ref="A119:BK119" si="11">SUM(A109,A95,A82,A68,A54,A41,A27,A14)</f>
        <v>179</v>
      </c>
      <c r="B119" s="1">
        <f t="shared" si="11"/>
        <v>67</v>
      </c>
      <c r="C119" s="1">
        <f t="shared" si="11"/>
        <v>34</v>
      </c>
      <c r="D119" s="1">
        <f t="shared" si="11"/>
        <v>78</v>
      </c>
      <c r="E119" s="1">
        <f t="shared" si="11"/>
        <v>0</v>
      </c>
      <c r="F119" s="1">
        <f t="shared" si="11"/>
        <v>0</v>
      </c>
      <c r="G119" s="1">
        <f t="shared" si="11"/>
        <v>0</v>
      </c>
      <c r="H119" s="1">
        <f t="shared" si="11"/>
        <v>26</v>
      </c>
      <c r="I119" s="1">
        <f t="shared" si="11"/>
        <v>5</v>
      </c>
      <c r="J119" s="1">
        <f t="shared" si="11"/>
        <v>1</v>
      </c>
      <c r="K119" s="1">
        <f t="shared" si="11"/>
        <v>20</v>
      </c>
      <c r="L119" s="1">
        <f t="shared" si="11"/>
        <v>0</v>
      </c>
      <c r="M119" s="1">
        <f t="shared" si="11"/>
        <v>0</v>
      </c>
      <c r="N119" s="1">
        <f t="shared" si="11"/>
        <v>0</v>
      </c>
      <c r="O119" s="1">
        <f t="shared" si="11"/>
        <v>162</v>
      </c>
      <c r="P119" s="1">
        <f t="shared" si="11"/>
        <v>58</v>
      </c>
      <c r="Q119" s="1">
        <f t="shared" si="11"/>
        <v>33</v>
      </c>
      <c r="R119" s="1">
        <f t="shared" si="11"/>
        <v>71</v>
      </c>
      <c r="S119" s="1">
        <f t="shared" si="11"/>
        <v>0</v>
      </c>
      <c r="T119" s="1">
        <f t="shared" si="11"/>
        <v>0</v>
      </c>
      <c r="U119" s="1">
        <f t="shared" si="11"/>
        <v>0</v>
      </c>
      <c r="V119" s="1">
        <f t="shared" si="11"/>
        <v>1</v>
      </c>
      <c r="W119" s="1">
        <f t="shared" si="11"/>
        <v>0</v>
      </c>
      <c r="X119" s="1">
        <f t="shared" si="11"/>
        <v>1</v>
      </c>
      <c r="Y119" s="1">
        <f t="shared" si="11"/>
        <v>0</v>
      </c>
      <c r="Z119" s="1">
        <f t="shared" si="11"/>
        <v>0</v>
      </c>
      <c r="AA119" s="1">
        <f t="shared" si="11"/>
        <v>0</v>
      </c>
      <c r="AB119" s="1">
        <f t="shared" si="11"/>
        <v>0</v>
      </c>
      <c r="AC119" s="1">
        <f t="shared" si="11"/>
        <v>1</v>
      </c>
      <c r="AD119" s="1">
        <f t="shared" si="11"/>
        <v>0</v>
      </c>
      <c r="AE119" s="1">
        <f t="shared" si="11"/>
        <v>1</v>
      </c>
      <c r="AF119" s="1">
        <f t="shared" si="11"/>
        <v>0</v>
      </c>
      <c r="AG119" s="1">
        <f t="shared" si="11"/>
        <v>0</v>
      </c>
      <c r="AH119" s="1">
        <f t="shared" si="11"/>
        <v>0</v>
      </c>
      <c r="AI119" s="1">
        <f t="shared" si="11"/>
        <v>0</v>
      </c>
      <c r="AJ119" s="1">
        <f t="shared" si="11"/>
        <v>2</v>
      </c>
      <c r="AK119" s="1">
        <f t="shared" si="11"/>
        <v>1</v>
      </c>
      <c r="AL119" s="1">
        <f t="shared" si="11"/>
        <v>1</v>
      </c>
      <c r="AM119" s="1">
        <f t="shared" si="11"/>
        <v>0</v>
      </c>
      <c r="AN119" s="1">
        <f t="shared" si="11"/>
        <v>0</v>
      </c>
      <c r="AO119" s="1">
        <f t="shared" si="11"/>
        <v>0</v>
      </c>
      <c r="AP119" s="1">
        <f t="shared" si="11"/>
        <v>0</v>
      </c>
      <c r="AQ119" s="1">
        <f t="shared" si="11"/>
        <v>2</v>
      </c>
      <c r="AR119" s="1">
        <f t="shared" si="11"/>
        <v>1</v>
      </c>
      <c r="AS119" s="1">
        <f t="shared" si="11"/>
        <v>1</v>
      </c>
      <c r="AT119" s="1">
        <f t="shared" si="11"/>
        <v>0</v>
      </c>
      <c r="AU119" s="1">
        <f t="shared" si="11"/>
        <v>0</v>
      </c>
      <c r="AV119" s="1">
        <f t="shared" si="11"/>
        <v>0</v>
      </c>
      <c r="AW119" s="1">
        <f t="shared" si="11"/>
        <v>0</v>
      </c>
      <c r="AX119" s="1">
        <f t="shared" si="11"/>
        <v>0</v>
      </c>
      <c r="AY119" s="1">
        <f t="shared" si="11"/>
        <v>0</v>
      </c>
      <c r="AZ119" s="1">
        <f t="shared" si="11"/>
        <v>0</v>
      </c>
      <c r="BA119" s="1">
        <f t="shared" si="11"/>
        <v>0</v>
      </c>
      <c r="BB119" s="1">
        <f t="shared" si="11"/>
        <v>0</v>
      </c>
      <c r="BC119" s="1">
        <f t="shared" si="11"/>
        <v>0</v>
      </c>
      <c r="BD119" s="1">
        <f t="shared" si="11"/>
        <v>0</v>
      </c>
      <c r="BE119" s="1">
        <f t="shared" si="11"/>
        <v>1</v>
      </c>
      <c r="BF119" s="1">
        <f t="shared" si="11"/>
        <v>1</v>
      </c>
      <c r="BG119" s="1">
        <f t="shared" si="11"/>
        <v>0</v>
      </c>
      <c r="BH119" s="1">
        <f t="shared" si="11"/>
        <v>0</v>
      </c>
      <c r="BI119" s="1">
        <f t="shared" si="11"/>
        <v>0</v>
      </c>
      <c r="BJ119" s="1">
        <f t="shared" si="11"/>
        <v>0</v>
      </c>
      <c r="BK119" s="1">
        <f t="shared" si="11"/>
        <v>0</v>
      </c>
    </row>
    <row r="120" spans="1:63" ht="13" x14ac:dyDescent="0.15">
      <c r="A120" s="1">
        <f t="shared" ref="A120:AW120" si="12">SUM(A118:A119)</f>
        <v>438</v>
      </c>
      <c r="B120" s="1">
        <f t="shared" si="12"/>
        <v>259</v>
      </c>
      <c r="C120" s="1">
        <f t="shared" si="12"/>
        <v>53</v>
      </c>
      <c r="D120" s="1">
        <f t="shared" si="12"/>
        <v>92</v>
      </c>
      <c r="E120" s="1">
        <f t="shared" si="12"/>
        <v>33</v>
      </c>
      <c r="F120" s="1">
        <f t="shared" si="12"/>
        <v>1</v>
      </c>
      <c r="G120" s="1">
        <f t="shared" si="12"/>
        <v>0</v>
      </c>
      <c r="H120" s="1">
        <f t="shared" si="12"/>
        <v>82</v>
      </c>
      <c r="I120" s="1">
        <f t="shared" si="12"/>
        <v>48</v>
      </c>
      <c r="J120" s="1">
        <f t="shared" si="12"/>
        <v>9</v>
      </c>
      <c r="K120" s="1">
        <f t="shared" si="12"/>
        <v>23</v>
      </c>
      <c r="L120" s="1">
        <f t="shared" si="12"/>
        <v>2</v>
      </c>
      <c r="M120" s="1">
        <f t="shared" si="12"/>
        <v>0</v>
      </c>
      <c r="N120" s="1">
        <f t="shared" si="12"/>
        <v>0</v>
      </c>
      <c r="O120" s="1">
        <f t="shared" si="12"/>
        <v>457</v>
      </c>
      <c r="P120" s="1">
        <f t="shared" si="12"/>
        <v>301</v>
      </c>
      <c r="Q120" s="1">
        <f t="shared" si="12"/>
        <v>50</v>
      </c>
      <c r="R120" s="1">
        <f t="shared" si="12"/>
        <v>76</v>
      </c>
      <c r="S120" s="1">
        <f t="shared" si="12"/>
        <v>30</v>
      </c>
      <c r="T120" s="1">
        <f t="shared" si="12"/>
        <v>0</v>
      </c>
      <c r="U120" s="1">
        <f t="shared" si="12"/>
        <v>0</v>
      </c>
      <c r="V120" s="1">
        <f t="shared" si="12"/>
        <v>7</v>
      </c>
      <c r="W120" s="1">
        <f t="shared" si="12"/>
        <v>2</v>
      </c>
      <c r="X120" s="1">
        <f t="shared" si="12"/>
        <v>5</v>
      </c>
      <c r="Y120" s="1">
        <f t="shared" si="12"/>
        <v>0</v>
      </c>
      <c r="Z120" s="1">
        <f t="shared" si="12"/>
        <v>0</v>
      </c>
      <c r="AA120" s="1">
        <f t="shared" si="12"/>
        <v>0</v>
      </c>
      <c r="AB120" s="1">
        <f t="shared" si="12"/>
        <v>0</v>
      </c>
      <c r="AC120" s="1">
        <f t="shared" si="12"/>
        <v>6</v>
      </c>
      <c r="AD120" s="1">
        <f t="shared" si="12"/>
        <v>5</v>
      </c>
      <c r="AE120" s="1">
        <f t="shared" si="12"/>
        <v>1</v>
      </c>
      <c r="AF120" s="1">
        <f t="shared" si="12"/>
        <v>0</v>
      </c>
      <c r="AG120" s="1">
        <f t="shared" si="12"/>
        <v>0</v>
      </c>
      <c r="AH120" s="1">
        <f t="shared" si="12"/>
        <v>0</v>
      </c>
      <c r="AI120" s="1">
        <f t="shared" si="12"/>
        <v>0</v>
      </c>
      <c r="AJ120" s="1">
        <f t="shared" si="12"/>
        <v>3</v>
      </c>
      <c r="AK120" s="1">
        <f t="shared" si="12"/>
        <v>1</v>
      </c>
      <c r="AL120" s="1">
        <f t="shared" si="12"/>
        <v>1</v>
      </c>
      <c r="AM120" s="1">
        <f t="shared" si="12"/>
        <v>0</v>
      </c>
      <c r="AN120" s="1">
        <f t="shared" si="12"/>
        <v>1</v>
      </c>
      <c r="AO120" s="1">
        <f t="shared" si="12"/>
        <v>0</v>
      </c>
      <c r="AP120" s="1">
        <f t="shared" si="12"/>
        <v>0</v>
      </c>
      <c r="AQ120" s="1">
        <f t="shared" si="12"/>
        <v>7</v>
      </c>
      <c r="AR120" s="1">
        <f t="shared" si="12"/>
        <v>6</v>
      </c>
      <c r="AS120" s="1">
        <f t="shared" si="12"/>
        <v>1</v>
      </c>
      <c r="AT120" s="1">
        <f t="shared" si="12"/>
        <v>0</v>
      </c>
      <c r="AU120" s="1">
        <f t="shared" si="12"/>
        <v>0</v>
      </c>
      <c r="AV120" s="1">
        <f t="shared" si="12"/>
        <v>0</v>
      </c>
      <c r="AW120" s="1">
        <f t="shared" si="12"/>
        <v>0</v>
      </c>
    </row>
    <row r="123" spans="1:63" ht="13" x14ac:dyDescent="0.15">
      <c r="B123" s="1">
        <v>194</v>
      </c>
      <c r="C123" s="1">
        <v>19</v>
      </c>
      <c r="D123" s="1">
        <v>56</v>
      </c>
      <c r="E123" s="1">
        <v>69</v>
      </c>
      <c r="F123" s="1">
        <v>6</v>
      </c>
      <c r="G123" s="1">
        <v>1</v>
      </c>
    </row>
    <row r="124" spans="1:63" ht="13" x14ac:dyDescent="0.15">
      <c r="A124" s="1">
        <f>SUM(B124:G124)</f>
        <v>524</v>
      </c>
      <c r="B124" s="1">
        <f t="shared" ref="B124:G124" si="13">SUM(B123,B119)</f>
        <v>261</v>
      </c>
      <c r="C124" s="1">
        <f t="shared" si="13"/>
        <v>53</v>
      </c>
      <c r="D124" s="1">
        <f t="shared" si="13"/>
        <v>134</v>
      </c>
      <c r="E124" s="1">
        <f t="shared" si="13"/>
        <v>69</v>
      </c>
      <c r="F124" s="1">
        <f t="shared" si="13"/>
        <v>6</v>
      </c>
      <c r="G124" s="1">
        <f t="shared" si="13"/>
        <v>1</v>
      </c>
    </row>
    <row r="134" spans="2:4" ht="13" x14ac:dyDescent="0.15">
      <c r="B134" s="1">
        <f t="shared" ref="B134:B139" si="14">SUM(B5,B18,B32,B45,B59,B73,B86,B100)</f>
        <v>82</v>
      </c>
      <c r="C134" s="1">
        <v>359</v>
      </c>
      <c r="D134" s="1">
        <f t="shared" ref="D134:D140" si="15">SUM(B134:C134)</f>
        <v>441</v>
      </c>
    </row>
    <row r="135" spans="2:4" ht="13" x14ac:dyDescent="0.15">
      <c r="B135" s="1">
        <f t="shared" si="14"/>
        <v>36</v>
      </c>
      <c r="C135" s="1">
        <v>35</v>
      </c>
      <c r="D135" s="1">
        <f t="shared" si="15"/>
        <v>71</v>
      </c>
    </row>
    <row r="136" spans="2:4" ht="13" x14ac:dyDescent="0.15">
      <c r="B136" s="1">
        <f t="shared" si="14"/>
        <v>264</v>
      </c>
      <c r="C136" s="1">
        <v>146</v>
      </c>
      <c r="D136" s="1">
        <f t="shared" si="15"/>
        <v>410</v>
      </c>
    </row>
    <row r="137" spans="2:4" ht="13" x14ac:dyDescent="0.15">
      <c r="B137" s="1">
        <f t="shared" si="14"/>
        <v>9</v>
      </c>
      <c r="C137" s="1">
        <v>133</v>
      </c>
      <c r="D137" s="1">
        <f t="shared" si="15"/>
        <v>142</v>
      </c>
    </row>
    <row r="138" spans="2:4" ht="13" x14ac:dyDescent="0.15">
      <c r="B138" s="1">
        <f t="shared" si="14"/>
        <v>5</v>
      </c>
      <c r="C138" s="1">
        <v>16</v>
      </c>
      <c r="D138" s="1">
        <f t="shared" si="15"/>
        <v>21</v>
      </c>
    </row>
    <row r="139" spans="2:4" ht="13" x14ac:dyDescent="0.15">
      <c r="B139" s="1">
        <f t="shared" si="14"/>
        <v>0</v>
      </c>
      <c r="C139" s="1">
        <v>14</v>
      </c>
      <c r="D139" s="1">
        <f t="shared" si="15"/>
        <v>14</v>
      </c>
    </row>
    <row r="140" spans="2:4" ht="13" x14ac:dyDescent="0.15">
      <c r="B140" s="1">
        <f t="shared" ref="B140:C140" si="16">SUM(B134:B139)</f>
        <v>396</v>
      </c>
      <c r="C140" s="1">
        <f t="shared" si="16"/>
        <v>703</v>
      </c>
      <c r="D140" s="1">
        <f t="shared" si="15"/>
        <v>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 projects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Yisen Xu</cp:lastModifiedBy>
  <dcterms:modified xsi:type="dcterms:W3CDTF">2025-09-25T03:16:31Z</dcterms:modified>
</cp:coreProperties>
</file>